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knowhow.sharepoint.com/sites/Geral/Documentos Partilhados/TecKnowHow/04_Obras/2026/0026_Tiago_Pladur em tetos/02_Orçamento de Obras/"/>
    </mc:Choice>
  </mc:AlternateContent>
  <xr:revisionPtr revIDLastSave="381" documentId="14_{A5C1A2F2-E5CE-4FE6-BC22-8C2FEBC2F25B}" xr6:coauthVersionLast="47" xr6:coauthVersionMax="47" xr10:uidLastSave="{D9AA04DF-C9F4-4D77-AFC2-1CBD3A1F741C}"/>
  <bookViews>
    <workbookView xWindow="-120" yWindow="-120" windowWidth="29040" windowHeight="15720" xr2:uid="{96DFE746-C07B-4A74-ACEF-E8E917DA1EAC}"/>
  </bookViews>
  <sheets>
    <sheet name="MQT" sheetId="1" r:id="rId1"/>
    <sheet name="M.Calculo" sheetId="12" r:id="rId2"/>
    <sheet name="Lista de composição de preço" sheetId="2" r:id="rId3"/>
    <sheet name="Lista de custos obra" sheetId="13" r:id="rId4"/>
    <sheet name="MQT Real - Analitico" sheetId="14" r:id="rId5"/>
    <sheet name="Lista de composição de testes" sheetId="11" r:id="rId6"/>
    <sheet name="Lista de composição TB pontuais" sheetId="10" r:id="rId7"/>
  </sheets>
  <definedNames>
    <definedName name="_xlnm.Print_Area" localSheetId="0">MQT!$A$1:$H$28</definedName>
    <definedName name="_xlnm.Print_Area" localSheetId="4">'MQT Real - Analitico'!$A$1:$H$68</definedName>
    <definedName name="m.a">'Lista de composição de preço'!$G$49</definedName>
    <definedName name="m.o">'Lista de composição de preço'!$G$48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6" i="12" l="1"/>
  <c r="H153" i="12"/>
  <c r="L153" i="12"/>
  <c r="G31" i="12"/>
  <c r="E143" i="12"/>
  <c r="E142" i="12"/>
  <c r="H55" i="12"/>
  <c r="H53" i="12" s="1"/>
  <c r="H78" i="12"/>
  <c r="B119" i="12"/>
  <c r="B117" i="12"/>
  <c r="B96" i="12"/>
  <c r="B94" i="12"/>
  <c r="B73" i="12"/>
  <c r="B71" i="12"/>
  <c r="H136" i="12"/>
  <c r="H135" i="12"/>
  <c r="G134" i="12"/>
  <c r="H134" i="12" s="1"/>
  <c r="H133" i="12" s="1"/>
  <c r="H132" i="12"/>
  <c r="M130" i="12"/>
  <c r="E131" i="12" s="1"/>
  <c r="H128" i="12"/>
  <c r="H127" i="12"/>
  <c r="H126" i="12"/>
  <c r="H125" i="12"/>
  <c r="H124" i="12"/>
  <c r="H123" i="12"/>
  <c r="H121" i="12"/>
  <c r="H120" i="12"/>
  <c r="K119" i="12"/>
  <c r="H119" i="12"/>
  <c r="H113" i="12"/>
  <c r="H112" i="12" s="1"/>
  <c r="G111" i="12"/>
  <c r="H111" i="12" s="1"/>
  <c r="H110" i="12" s="1"/>
  <c r="H109" i="12"/>
  <c r="M107" i="12"/>
  <c r="E108" i="12" s="1"/>
  <c r="H105" i="12"/>
  <c r="H104" i="12"/>
  <c r="H103" i="12"/>
  <c r="H102" i="12"/>
  <c r="H101" i="12"/>
  <c r="H100" i="12"/>
  <c r="H99" i="12"/>
  <c r="H98" i="12"/>
  <c r="H97" i="12"/>
  <c r="K96" i="12"/>
  <c r="H90" i="12"/>
  <c r="H89" i="12"/>
  <c r="G88" i="12"/>
  <c r="H88" i="12" s="1"/>
  <c r="H87" i="12" s="1"/>
  <c r="H86" i="12"/>
  <c r="E85" i="12"/>
  <c r="M84" i="12"/>
  <c r="H82" i="12"/>
  <c r="H81" i="12"/>
  <c r="H80" i="12" s="1"/>
  <c r="H79" i="12"/>
  <c r="H77" i="12"/>
  <c r="H75" i="12"/>
  <c r="H74" i="12"/>
  <c r="K73" i="12"/>
  <c r="H73" i="12"/>
  <c r="B48" i="12"/>
  <c r="B50" i="12"/>
  <c r="H67" i="12"/>
  <c r="H66" i="12" s="1"/>
  <c r="G65" i="12"/>
  <c r="H65" i="12" s="1"/>
  <c r="H64" i="12" s="1"/>
  <c r="H63" i="12"/>
  <c r="M61" i="12"/>
  <c r="H59" i="12"/>
  <c r="H58" i="12"/>
  <c r="H57" i="12" s="1"/>
  <c r="H56" i="12"/>
  <c r="H54" i="12"/>
  <c r="H52" i="12"/>
  <c r="H51" i="12"/>
  <c r="K50" i="12"/>
  <c r="H50" i="12"/>
  <c r="B27" i="12"/>
  <c r="B4" i="12"/>
  <c r="H44" i="12"/>
  <c r="H43" i="12" s="1"/>
  <c r="G42" i="12"/>
  <c r="H42" i="12" s="1"/>
  <c r="H41" i="12" s="1"/>
  <c r="H40" i="12"/>
  <c r="M38" i="12"/>
  <c r="H36" i="12"/>
  <c r="H35" i="12"/>
  <c r="H34" i="12"/>
  <c r="H33" i="12"/>
  <c r="H32" i="12"/>
  <c r="H31" i="12"/>
  <c r="H30" i="12" s="1"/>
  <c r="H29" i="12"/>
  <c r="H28" i="12"/>
  <c r="K27" i="12"/>
  <c r="H157" i="12" l="1"/>
  <c r="H85" i="12"/>
  <c r="H84" i="12" s="1"/>
  <c r="H91" i="12" s="1"/>
  <c r="E13" i="1" s="1"/>
  <c r="H96" i="12"/>
  <c r="H27" i="12"/>
  <c r="H76" i="12"/>
  <c r="H122" i="12"/>
  <c r="H108" i="12"/>
  <c r="H107" i="12" s="1"/>
  <c r="H131" i="12"/>
  <c r="H130" i="12" s="1"/>
  <c r="H137" i="12" s="1"/>
  <c r="E62" i="12"/>
  <c r="H62" i="12" s="1"/>
  <c r="H61" i="12" s="1"/>
  <c r="H68" i="12" s="1"/>
  <c r="E39" i="12"/>
  <c r="H39" i="12" s="1"/>
  <c r="H38" i="12" s="1"/>
  <c r="H45" i="12" s="1"/>
  <c r="E10" i="1" s="1"/>
  <c r="H114" i="12" l="1"/>
  <c r="E14" i="1" s="1"/>
  <c r="H138" i="12"/>
  <c r="E15" i="1"/>
  <c r="H69" i="12"/>
  <c r="E11" i="1"/>
  <c r="X11" i="1" l="1"/>
  <c r="K173" i="12"/>
  <c r="K158" i="12"/>
  <c r="K169" i="12"/>
  <c r="K154" i="12"/>
  <c r="L168" i="12"/>
  <c r="M169" i="12" s="1"/>
  <c r="K172" i="12"/>
  <c r="K171" i="12"/>
  <c r="K170" i="12"/>
  <c r="K156" i="12"/>
  <c r="K157" i="12"/>
  <c r="K155" i="12"/>
  <c r="G19" i="12"/>
  <c r="K174" i="12" l="1"/>
  <c r="M157" i="12"/>
  <c r="M156" i="12"/>
  <c r="M153" i="12"/>
  <c r="L162" i="12" s="1"/>
  <c r="M154" i="12"/>
  <c r="M158" i="12"/>
  <c r="M155" i="12"/>
  <c r="K159" i="12"/>
  <c r="M170" i="12"/>
  <c r="M168" i="12"/>
  <c r="L177" i="12" s="1"/>
  <c r="M173" i="12"/>
  <c r="M172" i="12"/>
  <c r="M171" i="12"/>
  <c r="M159" i="12" l="1"/>
  <c r="M162" i="12" s="1"/>
  <c r="M174" i="12"/>
  <c r="M177" i="12" s="1"/>
  <c r="AD16" i="1" l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D12" i="1"/>
  <c r="AC12" i="1"/>
  <c r="AB12" i="1"/>
  <c r="AA12" i="1"/>
  <c r="AD11" i="1"/>
  <c r="AC11" i="1"/>
  <c r="AB11" i="1"/>
  <c r="AA11" i="1"/>
  <c r="G92" i="12" s="1"/>
  <c r="AD10" i="1"/>
  <c r="AC10" i="1"/>
  <c r="AB10" i="1"/>
  <c r="AA10" i="1"/>
  <c r="G23" i="12" l="1"/>
  <c r="G46" i="12" s="1"/>
  <c r="H46" i="12" s="1"/>
  <c r="AA17" i="1"/>
  <c r="AB17" i="1"/>
  <c r="AC17" i="1"/>
  <c r="AD17" i="1"/>
  <c r="G115" i="12"/>
  <c r="H115" i="12" s="1"/>
  <c r="H92" i="12"/>
  <c r="L143" i="12"/>
  <c r="L142" i="12"/>
  <c r="H147" i="12"/>
  <c r="H146" i="12"/>
  <c r="H145" i="12"/>
  <c r="H144" i="12"/>
  <c r="G49" i="13"/>
  <c r="P3" i="14"/>
  <c r="R3" i="14"/>
  <c r="S3" i="14"/>
  <c r="T3" i="14"/>
  <c r="U3" i="14"/>
  <c r="P4" i="14"/>
  <c r="R4" i="14"/>
  <c r="P5" i="14"/>
  <c r="P6" i="14"/>
  <c r="Q6" i="14"/>
  <c r="R6" i="14"/>
  <c r="S6" i="14"/>
  <c r="T6" i="14"/>
  <c r="U6" i="14"/>
  <c r="P7" i="14"/>
  <c r="Q7" i="14"/>
  <c r="R7" i="14"/>
  <c r="S7" i="14"/>
  <c r="T7" i="14"/>
  <c r="U7" i="14"/>
  <c r="N8" i="1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14" i="14"/>
  <c r="B13" i="14"/>
  <c r="B10" i="14"/>
  <c r="B11" i="14"/>
  <c r="B12" i="14"/>
  <c r="B9" i="14"/>
  <c r="B8" i="14"/>
  <c r="B5" i="14"/>
  <c r="B4" i="14"/>
  <c r="B3" i="14"/>
  <c r="B2" i="14"/>
  <c r="G47" i="13"/>
  <c r="G34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21" i="13" s="1"/>
  <c r="G34" i="14" l="1"/>
  <c r="G13" i="1"/>
  <c r="G14" i="14" s="1"/>
  <c r="G10" i="1"/>
  <c r="G10" i="14" s="1"/>
  <c r="G31" i="14"/>
  <c r="G11" i="1"/>
  <c r="G11" i="14" s="1"/>
  <c r="G50" i="14"/>
  <c r="G12" i="14"/>
  <c r="G49" i="14"/>
  <c r="G30" i="14"/>
  <c r="G27" i="14"/>
  <c r="G26" i="14"/>
  <c r="G44" i="14"/>
  <c r="G24" i="14"/>
  <c r="G22" i="14"/>
  <c r="G41" i="14"/>
  <c r="G21" i="14"/>
  <c r="G20" i="14"/>
  <c r="G39" i="14"/>
  <c r="G57" i="14"/>
  <c r="G37" i="14"/>
  <c r="G17" i="14"/>
  <c r="G15" i="1"/>
  <c r="G16" i="14" s="1"/>
  <c r="G14" i="1"/>
  <c r="G15" i="14" s="1"/>
  <c r="N23" i="14"/>
  <c r="N38" i="14"/>
  <c r="N53" i="14"/>
  <c r="N43" i="14"/>
  <c r="N28" i="14"/>
  <c r="N13" i="14"/>
  <c r="N48" i="14"/>
  <c r="N33" i="14"/>
  <c r="N18" i="14"/>
  <c r="N8" i="14"/>
  <c r="H19" i="12"/>
  <c r="H18" i="12" s="1"/>
  <c r="M15" i="12"/>
  <c r="K4" i="12"/>
  <c r="H17" i="12"/>
  <c r="H10" i="12"/>
  <c r="H13" i="12"/>
  <c r="H12" i="12"/>
  <c r="H21" i="12"/>
  <c r="H20" i="12" s="1"/>
  <c r="H9" i="12"/>
  <c r="H8" i="12"/>
  <c r="H6" i="12"/>
  <c r="H5" i="12"/>
  <c r="H168" i="12"/>
  <c r="H169" i="12" s="1"/>
  <c r="H143" i="12"/>
  <c r="H142" i="12"/>
  <c r="I8" i="11"/>
  <c r="I9" i="11" s="1"/>
  <c r="I6" i="11"/>
  <c r="I5" i="11"/>
  <c r="I45" i="11"/>
  <c r="I48" i="11"/>
  <c r="H48" i="11"/>
  <c r="H49" i="11" s="1"/>
  <c r="H46" i="11"/>
  <c r="H45" i="11"/>
  <c r="I38" i="11"/>
  <c r="H38" i="11"/>
  <c r="I37" i="11"/>
  <c r="H37" i="11"/>
  <c r="H40" i="11" s="1"/>
  <c r="H41" i="11" s="1"/>
  <c r="I30" i="11"/>
  <c r="H30" i="11"/>
  <c r="I29" i="11"/>
  <c r="I32" i="11" s="1"/>
  <c r="I33" i="11" s="1"/>
  <c r="H29" i="11"/>
  <c r="H32" i="11" s="1"/>
  <c r="H33" i="11" s="1"/>
  <c r="I22" i="11"/>
  <c r="H22" i="11"/>
  <c r="I21" i="11"/>
  <c r="H21" i="11"/>
  <c r="H24" i="11" s="1"/>
  <c r="H25" i="11" s="1"/>
  <c r="I14" i="11"/>
  <c r="H14" i="11"/>
  <c r="I13" i="11"/>
  <c r="H13" i="11"/>
  <c r="H16" i="11" s="1"/>
  <c r="H17" i="11" s="1"/>
  <c r="H6" i="11"/>
  <c r="H5" i="11"/>
  <c r="H8" i="11" s="1"/>
  <c r="H9" i="11" s="1"/>
  <c r="I109" i="10"/>
  <c r="J109" i="10" s="1"/>
  <c r="K109" i="10" s="1"/>
  <c r="I110" i="10"/>
  <c r="J110" i="10"/>
  <c r="N110" i="10" s="1"/>
  <c r="K110" i="10"/>
  <c r="G110" i="10"/>
  <c r="G109" i="10"/>
  <c r="I116" i="10"/>
  <c r="J116" i="10" s="1"/>
  <c r="K116" i="10" s="1"/>
  <c r="G116" i="10"/>
  <c r="I115" i="10"/>
  <c r="J115" i="10" s="1"/>
  <c r="G115" i="10"/>
  <c r="I114" i="10"/>
  <c r="J114" i="10" s="1"/>
  <c r="G114" i="10"/>
  <c r="I113" i="10"/>
  <c r="J113" i="10" s="1"/>
  <c r="K113" i="10" s="1"/>
  <c r="G113" i="10"/>
  <c r="I112" i="10"/>
  <c r="J112" i="10" s="1"/>
  <c r="K112" i="10" s="1"/>
  <c r="G112" i="10"/>
  <c r="I111" i="10"/>
  <c r="J111" i="10" s="1"/>
  <c r="G111" i="10"/>
  <c r="I108" i="10"/>
  <c r="J108" i="10" s="1"/>
  <c r="G108" i="10"/>
  <c r="I107" i="10"/>
  <c r="J107" i="10" s="1"/>
  <c r="K107" i="10" s="1"/>
  <c r="G107" i="10"/>
  <c r="I106" i="10"/>
  <c r="J106" i="10" s="1"/>
  <c r="G106" i="10"/>
  <c r="I105" i="10"/>
  <c r="J105" i="10" s="1"/>
  <c r="G105" i="10"/>
  <c r="I95" i="10"/>
  <c r="J95" i="10" s="1"/>
  <c r="K95" i="10" s="1"/>
  <c r="I96" i="10"/>
  <c r="J96" i="10" s="1"/>
  <c r="I97" i="10"/>
  <c r="J97" i="10" s="1"/>
  <c r="I98" i="10"/>
  <c r="J98" i="10" s="1"/>
  <c r="K98" i="10" s="1"/>
  <c r="G97" i="10"/>
  <c r="G96" i="10"/>
  <c r="G95" i="10"/>
  <c r="G98" i="10"/>
  <c r="I86" i="10"/>
  <c r="J86" i="10" s="1"/>
  <c r="I87" i="10"/>
  <c r="J87" i="10" s="1"/>
  <c r="I88" i="10"/>
  <c r="J88" i="10" s="1"/>
  <c r="I89" i="10"/>
  <c r="J89" i="10" s="1"/>
  <c r="K89" i="10" s="1"/>
  <c r="I90" i="10"/>
  <c r="J90" i="10" s="1"/>
  <c r="I91" i="10"/>
  <c r="J91" i="10" s="1"/>
  <c r="K91" i="10" s="1"/>
  <c r="I92" i="10"/>
  <c r="J92" i="10" s="1"/>
  <c r="I93" i="10"/>
  <c r="J93" i="10" s="1"/>
  <c r="I94" i="10"/>
  <c r="J94" i="10" s="1"/>
  <c r="I85" i="10"/>
  <c r="J85" i="10" s="1"/>
  <c r="G94" i="10"/>
  <c r="G93" i="10"/>
  <c r="G92" i="10"/>
  <c r="G91" i="10"/>
  <c r="G90" i="10"/>
  <c r="G89" i="10"/>
  <c r="G88" i="10"/>
  <c r="G87" i="10"/>
  <c r="G86" i="10"/>
  <c r="G85" i="10"/>
  <c r="I58" i="10"/>
  <c r="J58" i="10" s="1"/>
  <c r="I59" i="10"/>
  <c r="J59" i="10" s="1"/>
  <c r="I60" i="10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8" i="10"/>
  <c r="J68" i="10" s="1"/>
  <c r="I69" i="10"/>
  <c r="I70" i="10"/>
  <c r="I71" i="10"/>
  <c r="J71" i="10" s="1"/>
  <c r="I72" i="10"/>
  <c r="J72" i="10" s="1"/>
  <c r="I73" i="10"/>
  <c r="J73" i="10" s="1"/>
  <c r="I74" i="10"/>
  <c r="J74" i="10" s="1"/>
  <c r="I75" i="10"/>
  <c r="I76" i="10"/>
  <c r="J76" i="10" s="1"/>
  <c r="I77" i="10"/>
  <c r="I78" i="10"/>
  <c r="I57" i="10"/>
  <c r="J57" i="10" s="1"/>
  <c r="I32" i="10"/>
  <c r="J32" i="10" s="1"/>
  <c r="I33" i="10"/>
  <c r="J33" i="10" s="1"/>
  <c r="I34" i="10"/>
  <c r="J34" i="10" s="1"/>
  <c r="I35" i="10"/>
  <c r="J35" i="10" s="1"/>
  <c r="I36" i="10"/>
  <c r="J36" i="10" s="1"/>
  <c r="I38" i="10"/>
  <c r="I39" i="10"/>
  <c r="J39" i="10" s="1"/>
  <c r="I40" i="10"/>
  <c r="J40" i="10" s="1"/>
  <c r="I41" i="10"/>
  <c r="J41" i="10" s="1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K47" i="10" s="1"/>
  <c r="I48" i="10"/>
  <c r="J48" i="10" s="1"/>
  <c r="I49" i="10"/>
  <c r="J49" i="10" s="1"/>
  <c r="I50" i="10"/>
  <c r="J50" i="10" s="1"/>
  <c r="I31" i="10"/>
  <c r="J31" i="10" s="1"/>
  <c r="G62" i="10"/>
  <c r="G61" i="10"/>
  <c r="J78" i="10"/>
  <c r="G78" i="10"/>
  <c r="J77" i="10"/>
  <c r="G77" i="10"/>
  <c r="G76" i="10"/>
  <c r="J75" i="10"/>
  <c r="G75" i="10"/>
  <c r="G74" i="10"/>
  <c r="G73" i="10"/>
  <c r="G72" i="10"/>
  <c r="G71" i="10"/>
  <c r="J70" i="10"/>
  <c r="G70" i="10"/>
  <c r="J69" i="10"/>
  <c r="G69" i="10"/>
  <c r="G68" i="10"/>
  <c r="G66" i="10"/>
  <c r="G65" i="10"/>
  <c r="G64" i="10"/>
  <c r="G63" i="10"/>
  <c r="J60" i="10"/>
  <c r="G60" i="10"/>
  <c r="G59" i="10"/>
  <c r="G58" i="10"/>
  <c r="G57" i="10"/>
  <c r="G43" i="10"/>
  <c r="G42" i="10"/>
  <c r="G41" i="10"/>
  <c r="G50" i="10"/>
  <c r="G49" i="10"/>
  <c r="G48" i="10"/>
  <c r="G47" i="10"/>
  <c r="G46" i="10"/>
  <c r="G45" i="10"/>
  <c r="G44" i="10"/>
  <c r="G40" i="10"/>
  <c r="G39" i="10"/>
  <c r="J38" i="10"/>
  <c r="G38" i="10"/>
  <c r="G36" i="10"/>
  <c r="G35" i="10"/>
  <c r="G34" i="10"/>
  <c r="G33" i="10"/>
  <c r="G32" i="10"/>
  <c r="G31" i="10"/>
  <c r="G15" i="10"/>
  <c r="G16" i="10"/>
  <c r="G17" i="10"/>
  <c r="G18" i="10"/>
  <c r="G19" i="10"/>
  <c r="G20" i="10"/>
  <c r="G21" i="10"/>
  <c r="G22" i="10"/>
  <c r="G23" i="10"/>
  <c r="G24" i="10"/>
  <c r="G14" i="10"/>
  <c r="G6" i="10"/>
  <c r="G7" i="10"/>
  <c r="G8" i="10"/>
  <c r="G9" i="10"/>
  <c r="G10" i="10"/>
  <c r="G11" i="10"/>
  <c r="G12" i="10"/>
  <c r="G5" i="10"/>
  <c r="I15" i="10"/>
  <c r="J15" i="10" s="1"/>
  <c r="K15" i="10" s="1"/>
  <c r="I16" i="10"/>
  <c r="J16" i="10" s="1"/>
  <c r="K16" i="10" s="1"/>
  <c r="I17" i="10"/>
  <c r="J17" i="10" s="1"/>
  <c r="K17" i="10" s="1"/>
  <c r="I18" i="10"/>
  <c r="J18" i="10" s="1"/>
  <c r="K18" i="10" s="1"/>
  <c r="I19" i="10"/>
  <c r="J19" i="10" s="1"/>
  <c r="K19" i="10" s="1"/>
  <c r="I20" i="10"/>
  <c r="J20" i="10" s="1"/>
  <c r="K20" i="10" s="1"/>
  <c r="I21" i="10"/>
  <c r="J21" i="10" s="1"/>
  <c r="K21" i="10" s="1"/>
  <c r="I22" i="10"/>
  <c r="J22" i="10" s="1"/>
  <c r="K22" i="10" s="1"/>
  <c r="I23" i="10"/>
  <c r="J23" i="10" s="1"/>
  <c r="K23" i="10" s="1"/>
  <c r="I24" i="10"/>
  <c r="J24" i="10" s="1"/>
  <c r="K24" i="10" s="1"/>
  <c r="I14" i="10"/>
  <c r="J14" i="10" s="1"/>
  <c r="K14" i="10" s="1"/>
  <c r="I6" i="10"/>
  <c r="J6" i="10" s="1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I11" i="10"/>
  <c r="J11" i="10" s="1"/>
  <c r="K11" i="10" s="1"/>
  <c r="I12" i="10"/>
  <c r="J12" i="10" s="1"/>
  <c r="I5" i="10"/>
  <c r="J5" i="10" s="1"/>
  <c r="K5" i="10" s="1"/>
  <c r="G19" i="14" l="1"/>
  <c r="G47" i="14"/>
  <c r="G40" i="14"/>
  <c r="G29" i="14"/>
  <c r="G55" i="14"/>
  <c r="G36" i="14"/>
  <c r="G45" i="14"/>
  <c r="G42" i="14"/>
  <c r="G51" i="14"/>
  <c r="G35" i="14"/>
  <c r="G52" i="14"/>
  <c r="G56" i="14"/>
  <c r="G32" i="14"/>
  <c r="G25" i="14"/>
  <c r="G46" i="14"/>
  <c r="G54" i="14"/>
  <c r="H7" i="12"/>
  <c r="H4" i="12"/>
  <c r="H11" i="12"/>
  <c r="E16" i="12"/>
  <c r="H16" i="12" s="1"/>
  <c r="H148" i="12"/>
  <c r="H149" i="12" s="1"/>
  <c r="I49" i="11"/>
  <c r="I16" i="11"/>
  <c r="I17" i="11" s="1"/>
  <c r="I24" i="11"/>
  <c r="I25" i="11" s="1"/>
  <c r="I40" i="11"/>
  <c r="I41" i="11" s="1"/>
  <c r="M110" i="10"/>
  <c r="M109" i="10"/>
  <c r="N109" i="10"/>
  <c r="M49" i="10"/>
  <c r="M92" i="10"/>
  <c r="N106" i="10"/>
  <c r="G104" i="10"/>
  <c r="N108" i="10"/>
  <c r="M108" i="10"/>
  <c r="N114" i="10"/>
  <c r="M114" i="10"/>
  <c r="N96" i="10"/>
  <c r="K96" i="10"/>
  <c r="M96" i="10"/>
  <c r="N97" i="10"/>
  <c r="M97" i="10"/>
  <c r="K97" i="10"/>
  <c r="M50" i="10"/>
  <c r="M98" i="10"/>
  <c r="N95" i="10"/>
  <c r="N98" i="10"/>
  <c r="M113" i="10"/>
  <c r="N113" i="10"/>
  <c r="M95" i="10"/>
  <c r="G117" i="10"/>
  <c r="G118" i="10" s="1"/>
  <c r="N111" i="10"/>
  <c r="M111" i="10"/>
  <c r="K111" i="10"/>
  <c r="J117" i="10"/>
  <c r="N105" i="10"/>
  <c r="M105" i="10"/>
  <c r="K105" i="10"/>
  <c r="N115" i="10"/>
  <c r="M115" i="10"/>
  <c r="K115" i="10"/>
  <c r="M107" i="10"/>
  <c r="K106" i="10"/>
  <c r="M106" i="10"/>
  <c r="M112" i="10"/>
  <c r="M116" i="10"/>
  <c r="N112" i="10"/>
  <c r="N116" i="10"/>
  <c r="N107" i="10"/>
  <c r="K108" i="10"/>
  <c r="K114" i="10"/>
  <c r="M42" i="10"/>
  <c r="N62" i="10"/>
  <c r="N46" i="10"/>
  <c r="G99" i="10"/>
  <c r="G100" i="10" s="1"/>
  <c r="N88" i="10"/>
  <c r="N87" i="10"/>
  <c r="G84" i="10"/>
  <c r="K93" i="10"/>
  <c r="M93" i="10"/>
  <c r="M89" i="10"/>
  <c r="K85" i="10"/>
  <c r="M85" i="10"/>
  <c r="N94" i="10"/>
  <c r="M94" i="10"/>
  <c r="K94" i="10"/>
  <c r="N90" i="10"/>
  <c r="M90" i="10"/>
  <c r="K90" i="10"/>
  <c r="N86" i="10"/>
  <c r="M86" i="10"/>
  <c r="K86" i="10"/>
  <c r="N85" i="10"/>
  <c r="K88" i="10"/>
  <c r="N89" i="10"/>
  <c r="K92" i="10"/>
  <c r="N93" i="10"/>
  <c r="K87" i="10"/>
  <c r="M87" i="10"/>
  <c r="M91" i="10"/>
  <c r="J99" i="10"/>
  <c r="N91" i="10"/>
  <c r="N92" i="10"/>
  <c r="M88" i="10"/>
  <c r="M61" i="10"/>
  <c r="K61" i="10"/>
  <c r="M47" i="10"/>
  <c r="M46" i="10"/>
  <c r="N61" i="10"/>
  <c r="N50" i="10"/>
  <c r="G79" i="10"/>
  <c r="G80" i="10" s="1"/>
  <c r="K62" i="10"/>
  <c r="M62" i="10"/>
  <c r="N63" i="10"/>
  <c r="M44" i="10"/>
  <c r="N57" i="10"/>
  <c r="M48" i="10"/>
  <c r="M45" i="10"/>
  <c r="G56" i="10"/>
  <c r="N49" i="10"/>
  <c r="G67" i="10"/>
  <c r="N47" i="10"/>
  <c r="N48" i="10"/>
  <c r="N42" i="10"/>
  <c r="N60" i="10"/>
  <c r="K60" i="10"/>
  <c r="M60" i="10"/>
  <c r="N66" i="10"/>
  <c r="M66" i="10"/>
  <c r="K66" i="10"/>
  <c r="M71" i="10"/>
  <c r="K71" i="10"/>
  <c r="N71" i="10"/>
  <c r="M75" i="10"/>
  <c r="N75" i="10"/>
  <c r="K75" i="10"/>
  <c r="M68" i="10"/>
  <c r="N68" i="10"/>
  <c r="K68" i="10"/>
  <c r="M72" i="10"/>
  <c r="K72" i="10"/>
  <c r="N72" i="10"/>
  <c r="M76" i="10"/>
  <c r="N76" i="10"/>
  <c r="K76" i="10"/>
  <c r="N59" i="10"/>
  <c r="M59" i="10"/>
  <c r="K59" i="10"/>
  <c r="K58" i="10"/>
  <c r="N58" i="10"/>
  <c r="M58" i="10"/>
  <c r="K64" i="10"/>
  <c r="N64" i="10"/>
  <c r="M64" i="10"/>
  <c r="N69" i="10"/>
  <c r="M69" i="10"/>
  <c r="K69" i="10"/>
  <c r="M73" i="10"/>
  <c r="K73" i="10"/>
  <c r="N73" i="10"/>
  <c r="M77" i="10"/>
  <c r="K77" i="10"/>
  <c r="N77" i="10"/>
  <c r="N65" i="10"/>
  <c r="M65" i="10"/>
  <c r="K65" i="10"/>
  <c r="M70" i="10"/>
  <c r="N70" i="10"/>
  <c r="K70" i="10"/>
  <c r="M74" i="10"/>
  <c r="N74" i="10"/>
  <c r="K74" i="10"/>
  <c r="N78" i="10"/>
  <c r="M78" i="10"/>
  <c r="K78" i="10"/>
  <c r="K57" i="10"/>
  <c r="K63" i="10"/>
  <c r="M57" i="10"/>
  <c r="M63" i="10"/>
  <c r="J79" i="10"/>
  <c r="K41" i="10"/>
  <c r="M41" i="10"/>
  <c r="N45" i="10"/>
  <c r="N44" i="10"/>
  <c r="K43" i="10"/>
  <c r="N43" i="10"/>
  <c r="M43" i="10"/>
  <c r="K42" i="10"/>
  <c r="N41" i="10"/>
  <c r="N10" i="10"/>
  <c r="N34" i="10"/>
  <c r="G37" i="10"/>
  <c r="G30" i="10"/>
  <c r="N12" i="10"/>
  <c r="K44" i="10"/>
  <c r="K50" i="10"/>
  <c r="N33" i="10"/>
  <c r="K31" i="10"/>
  <c r="M31" i="10"/>
  <c r="K35" i="10"/>
  <c r="M35" i="10"/>
  <c r="G51" i="10"/>
  <c r="G52" i="10" s="1"/>
  <c r="K49" i="10"/>
  <c r="N40" i="10"/>
  <c r="M40" i="10"/>
  <c r="K40" i="10"/>
  <c r="N36" i="10"/>
  <c r="M36" i="10"/>
  <c r="K36" i="10"/>
  <c r="N32" i="10"/>
  <c r="M32" i="10"/>
  <c r="K32" i="10"/>
  <c r="N39" i="10"/>
  <c r="M39" i="10"/>
  <c r="K39" i="10"/>
  <c r="N38" i="10"/>
  <c r="M38" i="10"/>
  <c r="K38" i="10"/>
  <c r="K46" i="10"/>
  <c r="N31" i="10"/>
  <c r="K34" i="10"/>
  <c r="N35" i="10"/>
  <c r="K33" i="10"/>
  <c r="M33" i="10"/>
  <c r="K45" i="10"/>
  <c r="K48" i="10"/>
  <c r="J51" i="10"/>
  <c r="M34" i="10"/>
  <c r="K12" i="10"/>
  <c r="M19" i="10"/>
  <c r="M12" i="10"/>
  <c r="M9" i="10"/>
  <c r="N23" i="10"/>
  <c r="K10" i="10"/>
  <c r="N21" i="10"/>
  <c r="M10" i="10"/>
  <c r="M21" i="10"/>
  <c r="N20" i="10"/>
  <c r="M20" i="10"/>
  <c r="N15" i="10"/>
  <c r="K6" i="10"/>
  <c r="N6" i="10"/>
  <c r="M6" i="10"/>
  <c r="N11" i="10"/>
  <c r="M5" i="10"/>
  <c r="M17" i="10"/>
  <c r="M8" i="10"/>
  <c r="N19" i="10"/>
  <c r="M24" i="10"/>
  <c r="M16" i="10"/>
  <c r="M7" i="10"/>
  <c r="N18" i="10"/>
  <c r="N9" i="10"/>
  <c r="J25" i="10"/>
  <c r="M23" i="10"/>
  <c r="M15" i="10"/>
  <c r="N17" i="10"/>
  <c r="N8" i="10"/>
  <c r="N5" i="10"/>
  <c r="M18" i="10"/>
  <c r="M22" i="10"/>
  <c r="M14" i="10"/>
  <c r="N24" i="10"/>
  <c r="N16" i="10"/>
  <c r="N7" i="10"/>
  <c r="M11" i="10"/>
  <c r="N22" i="10"/>
  <c r="N14" i="10"/>
  <c r="H15" i="12" l="1"/>
  <c r="M117" i="10"/>
  <c r="K117" i="10"/>
  <c r="K99" i="10"/>
  <c r="M99" i="10"/>
  <c r="M79" i="10"/>
  <c r="K79" i="10"/>
  <c r="K25" i="10"/>
  <c r="M51" i="10"/>
  <c r="K51" i="10"/>
  <c r="M25" i="10"/>
  <c r="H22" i="12" l="1"/>
  <c r="H23" i="12" s="1"/>
  <c r="H155" i="12"/>
  <c r="H158" i="12" s="1"/>
  <c r="H159" i="12" s="1"/>
  <c r="E514" i="2"/>
  <c r="H514" i="2" s="1"/>
  <c r="H520" i="2"/>
  <c r="H519" i="2"/>
  <c r="H518" i="2"/>
  <c r="H517" i="2"/>
  <c r="H516" i="2"/>
  <c r="H515" i="2"/>
  <c r="H513" i="2"/>
  <c r="K512" i="2"/>
  <c r="H512" i="2"/>
  <c r="H502" i="2"/>
  <c r="E500" i="2"/>
  <c r="H500" i="2" s="1"/>
  <c r="H506" i="2"/>
  <c r="H505" i="2"/>
  <c r="H504" i="2"/>
  <c r="H503" i="2"/>
  <c r="H501" i="2"/>
  <c r="H499" i="2"/>
  <c r="K498" i="2"/>
  <c r="I499" i="2" s="1"/>
  <c r="H498" i="2"/>
  <c r="E472" i="2"/>
  <c r="H472" i="2" s="1"/>
  <c r="E486" i="2"/>
  <c r="H486" i="2" s="1"/>
  <c r="H492" i="2"/>
  <c r="H491" i="2"/>
  <c r="H490" i="2"/>
  <c r="H489" i="2"/>
  <c r="H488" i="2"/>
  <c r="H487" i="2"/>
  <c r="H485" i="2"/>
  <c r="K484" i="2"/>
  <c r="I485" i="2" s="1"/>
  <c r="H484" i="2"/>
  <c r="H476" i="2"/>
  <c r="H473" i="2"/>
  <c r="H474" i="2"/>
  <c r="H475" i="2"/>
  <c r="H478" i="2"/>
  <c r="H477" i="2"/>
  <c r="H471" i="2"/>
  <c r="K470" i="2"/>
  <c r="H470" i="2"/>
  <c r="E346" i="2"/>
  <c r="M132" i="2"/>
  <c r="E138" i="2" s="1"/>
  <c r="H140" i="2"/>
  <c r="H139" i="2"/>
  <c r="H137" i="2"/>
  <c r="G136" i="2"/>
  <c r="H136" i="2" s="1"/>
  <c r="H135" i="2"/>
  <c r="H134" i="2"/>
  <c r="H133" i="2"/>
  <c r="H132" i="2"/>
  <c r="M118" i="2"/>
  <c r="G110" i="2"/>
  <c r="H110" i="2" s="1"/>
  <c r="H109" i="2"/>
  <c r="H108" i="2"/>
  <c r="H107" i="2"/>
  <c r="G96" i="2"/>
  <c r="H96" i="2" s="1"/>
  <c r="H95" i="2"/>
  <c r="H94" i="2"/>
  <c r="H93" i="2"/>
  <c r="G82" i="2"/>
  <c r="H82" i="2" s="1"/>
  <c r="H81" i="2"/>
  <c r="H80" i="2"/>
  <c r="H79" i="2"/>
  <c r="G68" i="2"/>
  <c r="H68" i="2" s="1"/>
  <c r="H67" i="2"/>
  <c r="H66" i="2"/>
  <c r="H65" i="2"/>
  <c r="M34" i="2"/>
  <c r="G39" i="2" s="1"/>
  <c r="H42" i="2"/>
  <c r="H41" i="2"/>
  <c r="H40" i="2"/>
  <c r="H37" i="2"/>
  <c r="H36" i="2"/>
  <c r="H35" i="2"/>
  <c r="K34" i="2"/>
  <c r="H34" i="2"/>
  <c r="H464" i="2"/>
  <c r="H463" i="2"/>
  <c r="H462" i="2"/>
  <c r="H457" i="2"/>
  <c r="K456" i="2"/>
  <c r="H456" i="2"/>
  <c r="H450" i="2"/>
  <c r="H449" i="2"/>
  <c r="H443" i="2"/>
  <c r="K442" i="2"/>
  <c r="H442" i="2"/>
  <c r="I402" i="2"/>
  <c r="E402" i="2" s="1"/>
  <c r="G402" i="2"/>
  <c r="G404" i="2"/>
  <c r="H404" i="2" s="1"/>
  <c r="E388" i="2"/>
  <c r="G377" i="2"/>
  <c r="H377" i="2" s="1"/>
  <c r="E374" i="2"/>
  <c r="K358" i="2"/>
  <c r="I373" i="2" s="1"/>
  <c r="E361" i="2"/>
  <c r="G363" i="2"/>
  <c r="H363" i="2" s="1"/>
  <c r="E360" i="2"/>
  <c r="H336" i="2"/>
  <c r="H335" i="2"/>
  <c r="H334" i="2"/>
  <c r="H332" i="2"/>
  <c r="H331" i="2"/>
  <c r="H330" i="2"/>
  <c r="H329" i="2"/>
  <c r="M328" i="2"/>
  <c r="G333" i="2" s="1"/>
  <c r="K328" i="2"/>
  <c r="H328" i="2"/>
  <c r="M314" i="2"/>
  <c r="G319" i="2" s="1"/>
  <c r="H322" i="2"/>
  <c r="H321" i="2"/>
  <c r="H320" i="2"/>
  <c r="H318" i="2"/>
  <c r="H317" i="2"/>
  <c r="H316" i="2"/>
  <c r="H315" i="2"/>
  <c r="K314" i="2"/>
  <c r="H314" i="2"/>
  <c r="M300" i="2"/>
  <c r="E305" i="2" s="1"/>
  <c r="H308" i="2"/>
  <c r="H307" i="2"/>
  <c r="H306" i="2"/>
  <c r="H304" i="2"/>
  <c r="H303" i="2"/>
  <c r="H302" i="2"/>
  <c r="H301" i="2"/>
  <c r="K300" i="2"/>
  <c r="H300" i="2"/>
  <c r="M286" i="2"/>
  <c r="G291" i="2" s="1"/>
  <c r="H294" i="2"/>
  <c r="H293" i="2"/>
  <c r="H292" i="2"/>
  <c r="H290" i="2"/>
  <c r="H288" i="2"/>
  <c r="H287" i="2"/>
  <c r="K286" i="2"/>
  <c r="H286" i="2"/>
  <c r="G282" i="2"/>
  <c r="K62" i="2"/>
  <c r="H22" i="2"/>
  <c r="H23" i="2"/>
  <c r="H24" i="2"/>
  <c r="H25" i="2"/>
  <c r="H26" i="2"/>
  <c r="H28" i="2"/>
  <c r="H27" i="2"/>
  <c r="H21" i="2"/>
  <c r="H20" i="2"/>
  <c r="N12" i="1"/>
  <c r="E9" i="1" l="1"/>
  <c r="G9" i="1" s="1"/>
  <c r="G9" i="14" s="1"/>
  <c r="I513" i="2"/>
  <c r="E291" i="2"/>
  <c r="H521" i="2"/>
  <c r="H522" i="2" s="1"/>
  <c r="G305" i="2"/>
  <c r="G13" i="10"/>
  <c r="G25" i="10"/>
  <c r="G26" i="10" s="1"/>
  <c r="G4" i="10"/>
  <c r="I359" i="2"/>
  <c r="I358" i="2"/>
  <c r="I484" i="2"/>
  <c r="H507" i="2"/>
  <c r="H508" i="2" s="1"/>
  <c r="H493" i="2"/>
  <c r="H494" i="2" s="1"/>
  <c r="H479" i="2"/>
  <c r="H480" i="2" s="1"/>
  <c r="G138" i="2"/>
  <c r="H138" i="2" s="1"/>
  <c r="H141" i="2" s="1"/>
  <c r="H142" i="2" s="1"/>
  <c r="E39" i="2"/>
  <c r="H39" i="2" s="1"/>
  <c r="H43" i="2" s="1"/>
  <c r="H44" i="2" s="1"/>
  <c r="E333" i="2"/>
  <c r="H333" i="2" s="1"/>
  <c r="H337" i="2" s="1"/>
  <c r="H338" i="2" s="1"/>
  <c r="H465" i="2"/>
  <c r="H466" i="2" s="1"/>
  <c r="H451" i="2"/>
  <c r="H452" i="2" s="1"/>
  <c r="E319" i="2"/>
  <c r="H319" i="2" s="1"/>
  <c r="H323" i="2" s="1"/>
  <c r="H324" i="2" s="1"/>
  <c r="H305" i="2"/>
  <c r="H309" i="2" s="1"/>
  <c r="H310" i="2" s="1"/>
  <c r="H291" i="2"/>
  <c r="H29" i="2"/>
  <c r="H30" i="2" s="1"/>
  <c r="M400" i="2" l="1"/>
  <c r="G406" i="2" s="1"/>
  <c r="H388" i="2"/>
  <c r="H402" i="2"/>
  <c r="H408" i="2"/>
  <c r="H407" i="2"/>
  <c r="H405" i="2"/>
  <c r="G403" i="2"/>
  <c r="H403" i="2" s="1"/>
  <c r="H401" i="2"/>
  <c r="K400" i="2"/>
  <c r="H400" i="2"/>
  <c r="M386" i="2"/>
  <c r="G392" i="2" s="1"/>
  <c r="H390" i="2"/>
  <c r="H394" i="2"/>
  <c r="H393" i="2"/>
  <c r="H391" i="2"/>
  <c r="G389" i="2"/>
  <c r="H389" i="2" s="1"/>
  <c r="H387" i="2"/>
  <c r="K386" i="2"/>
  <c r="H386" i="2"/>
  <c r="H380" i="2"/>
  <c r="H379" i="2"/>
  <c r="H378" i="2"/>
  <c r="G376" i="2"/>
  <c r="H376" i="2" s="1"/>
  <c r="H375" i="2"/>
  <c r="H373" i="2"/>
  <c r="K372" i="2"/>
  <c r="H372" i="2"/>
  <c r="H361" i="2"/>
  <c r="H360" i="2"/>
  <c r="G362" i="2"/>
  <c r="H362" i="2" s="1"/>
  <c r="H366" i="2"/>
  <c r="H365" i="2"/>
  <c r="H364" i="2"/>
  <c r="H359" i="2"/>
  <c r="H358" i="2"/>
  <c r="M272" i="2"/>
  <c r="E277" i="2" s="1"/>
  <c r="H280" i="2"/>
  <c r="H279" i="2"/>
  <c r="H278" i="2"/>
  <c r="H276" i="2"/>
  <c r="H275" i="2"/>
  <c r="H274" i="2"/>
  <c r="H273" i="2"/>
  <c r="K272" i="2"/>
  <c r="H272" i="2"/>
  <c r="M174" i="2"/>
  <c r="E179" i="2" s="1"/>
  <c r="H196" i="2"/>
  <c r="H195" i="2"/>
  <c r="H194" i="2"/>
  <c r="H192" i="2"/>
  <c r="H191" i="2"/>
  <c r="H190" i="2"/>
  <c r="H189" i="2"/>
  <c r="M188" i="2"/>
  <c r="G193" i="2" s="1"/>
  <c r="K188" i="2"/>
  <c r="H188" i="2"/>
  <c r="H210" i="2"/>
  <c r="H209" i="2"/>
  <c r="H208" i="2"/>
  <c r="H206" i="2"/>
  <c r="H205" i="2"/>
  <c r="H204" i="2"/>
  <c r="H203" i="2"/>
  <c r="M202" i="2"/>
  <c r="E207" i="2" s="1"/>
  <c r="K202" i="2"/>
  <c r="H202" i="2"/>
  <c r="E12" i="2"/>
  <c r="H12" i="2" s="1"/>
  <c r="K132" i="2"/>
  <c r="G122" i="2"/>
  <c r="H122" i="2" s="1"/>
  <c r="E124" i="2"/>
  <c r="H120" i="2"/>
  <c r="H121" i="2"/>
  <c r="H123" i="2"/>
  <c r="H126" i="2"/>
  <c r="H125" i="2"/>
  <c r="H119" i="2"/>
  <c r="K118" i="2"/>
  <c r="H118" i="2"/>
  <c r="H112" i="2"/>
  <c r="H111" i="2"/>
  <c r="H106" i="2"/>
  <c r="H105" i="2"/>
  <c r="K104" i="2"/>
  <c r="I104" i="2" s="1"/>
  <c r="H104" i="2"/>
  <c r="H98" i="2"/>
  <c r="H97" i="2"/>
  <c r="E92" i="2"/>
  <c r="H92" i="2" s="1"/>
  <c r="H91" i="2"/>
  <c r="H90" i="2"/>
  <c r="H84" i="2"/>
  <c r="H83" i="2"/>
  <c r="E78" i="2"/>
  <c r="H78" i="2" s="1"/>
  <c r="H77" i="2"/>
  <c r="H76" i="2"/>
  <c r="E64" i="2"/>
  <c r="H64" i="2" s="1"/>
  <c r="K90" i="2"/>
  <c r="K76" i="2"/>
  <c r="H70" i="2"/>
  <c r="H69" i="2"/>
  <c r="H63" i="2"/>
  <c r="H62" i="2"/>
  <c r="H182" i="2"/>
  <c r="H181" i="2"/>
  <c r="H180" i="2"/>
  <c r="H178" i="2"/>
  <c r="H177" i="2"/>
  <c r="H176" i="2"/>
  <c r="H175" i="2"/>
  <c r="K174" i="2"/>
  <c r="H174" i="2"/>
  <c r="M258" i="2"/>
  <c r="G263" i="2" s="1"/>
  <c r="H266" i="2"/>
  <c r="H265" i="2"/>
  <c r="H264" i="2"/>
  <c r="H262" i="2"/>
  <c r="H261" i="2"/>
  <c r="H260" i="2"/>
  <c r="H259" i="2"/>
  <c r="K258" i="2"/>
  <c r="I259" i="2" s="1"/>
  <c r="H258" i="2"/>
  <c r="M230" i="2"/>
  <c r="G235" i="2" s="1"/>
  <c r="G234" i="2"/>
  <c r="H234" i="2" s="1"/>
  <c r="G220" i="2"/>
  <c r="H220" i="2" s="1"/>
  <c r="G248" i="2"/>
  <c r="H248" i="2" s="1"/>
  <c r="M244" i="2"/>
  <c r="E249" i="2" s="1"/>
  <c r="M216" i="2"/>
  <c r="G221" i="2" s="1"/>
  <c r="H252" i="2"/>
  <c r="H251" i="2"/>
  <c r="H250" i="2"/>
  <c r="H247" i="2"/>
  <c r="H246" i="2"/>
  <c r="H245" i="2"/>
  <c r="K244" i="2"/>
  <c r="H244" i="2"/>
  <c r="H154" i="2"/>
  <c r="H153" i="2"/>
  <c r="H152" i="2"/>
  <c r="H150" i="2"/>
  <c r="H149" i="2"/>
  <c r="H148" i="2"/>
  <c r="H147" i="2"/>
  <c r="M146" i="2"/>
  <c r="E151" i="2" s="1"/>
  <c r="K146" i="2"/>
  <c r="H146" i="2"/>
  <c r="H238" i="2"/>
  <c r="H237" i="2"/>
  <c r="H236" i="2"/>
  <c r="H233" i="2"/>
  <c r="H232" i="2"/>
  <c r="H231" i="2"/>
  <c r="K230" i="2"/>
  <c r="H230" i="2"/>
  <c r="H219" i="2"/>
  <c r="H163" i="2"/>
  <c r="H224" i="2"/>
  <c r="H223" i="2"/>
  <c r="H222" i="2"/>
  <c r="H218" i="2"/>
  <c r="H217" i="2"/>
  <c r="K216" i="2"/>
  <c r="H216" i="2"/>
  <c r="M160" i="2"/>
  <c r="E165" i="2" s="1"/>
  <c r="H168" i="2"/>
  <c r="H167" i="2"/>
  <c r="H166" i="2"/>
  <c r="H164" i="2"/>
  <c r="H162" i="2"/>
  <c r="H161" i="2"/>
  <c r="K160" i="2"/>
  <c r="H160" i="2"/>
  <c r="G11" i="2"/>
  <c r="H11" i="2" s="1"/>
  <c r="G8" i="2"/>
  <c r="H8" i="2" s="1"/>
  <c r="H14" i="2"/>
  <c r="H13" i="2"/>
  <c r="H10" i="2"/>
  <c r="H9" i="2"/>
  <c r="H7" i="2"/>
  <c r="K6" i="2"/>
  <c r="H6" i="2"/>
  <c r="H436" i="2"/>
  <c r="H435" i="2"/>
  <c r="H434" i="2"/>
  <c r="H433" i="2"/>
  <c r="H432" i="2"/>
  <c r="H430" i="2"/>
  <c r="H429" i="2"/>
  <c r="K428" i="2"/>
  <c r="I512" i="2" s="1"/>
  <c r="H428" i="2"/>
  <c r="H422" i="2"/>
  <c r="H421" i="2"/>
  <c r="H420" i="2"/>
  <c r="H419" i="2"/>
  <c r="H418" i="2"/>
  <c r="H416" i="2"/>
  <c r="H415" i="2"/>
  <c r="K414" i="2"/>
  <c r="H414" i="2"/>
  <c r="H346" i="2"/>
  <c r="H352" i="2"/>
  <c r="H351" i="2"/>
  <c r="H350" i="2"/>
  <c r="H349" i="2"/>
  <c r="H348" i="2"/>
  <c r="H347" i="2"/>
  <c r="H345" i="2"/>
  <c r="K344" i="2"/>
  <c r="H344" i="2"/>
  <c r="H49" i="2"/>
  <c r="H50" i="2"/>
  <c r="H51" i="2"/>
  <c r="H52" i="2"/>
  <c r="H54" i="2"/>
  <c r="H55" i="2"/>
  <c r="H56" i="2"/>
  <c r="H48" i="2"/>
  <c r="M48" i="2"/>
  <c r="I471" i="2" l="1"/>
  <c r="I470" i="2"/>
  <c r="I498" i="2"/>
  <c r="I387" i="2"/>
  <c r="I386" i="2"/>
  <c r="I400" i="2"/>
  <c r="I401" i="2"/>
  <c r="E53" i="2"/>
  <c r="G53" i="2"/>
  <c r="H367" i="2"/>
  <c r="H368" i="2" s="1"/>
  <c r="I415" i="2"/>
  <c r="I443" i="2"/>
  <c r="I442" i="2"/>
  <c r="I428" i="2"/>
  <c r="I457" i="2"/>
  <c r="I456" i="2"/>
  <c r="H437" i="2"/>
  <c r="H438" i="2" s="1"/>
  <c r="E406" i="2"/>
  <c r="H406" i="2" s="1"/>
  <c r="H409" i="2" s="1"/>
  <c r="H410" i="2" s="1"/>
  <c r="E392" i="2"/>
  <c r="H392" i="2" s="1"/>
  <c r="H395" i="2" s="1"/>
  <c r="H396" i="2" s="1"/>
  <c r="I372" i="2"/>
  <c r="H374" i="2"/>
  <c r="H381" i="2" s="1"/>
  <c r="H382" i="2" s="1"/>
  <c r="G207" i="2"/>
  <c r="H207" i="2" s="1"/>
  <c r="H211" i="2" s="1"/>
  <c r="H212" i="2" s="1"/>
  <c r="E193" i="2"/>
  <c r="H193" i="2" s="1"/>
  <c r="H197" i="2" s="1"/>
  <c r="H198" i="2" s="1"/>
  <c r="G277" i="2"/>
  <c r="H277" i="2" s="1"/>
  <c r="H281" i="2" s="1"/>
  <c r="G124" i="2"/>
  <c r="H124" i="2" s="1"/>
  <c r="H127" i="2" s="1"/>
  <c r="E221" i="2"/>
  <c r="H221" i="2" s="1"/>
  <c r="H225" i="2" s="1"/>
  <c r="H226" i="2" s="1"/>
  <c r="E235" i="2"/>
  <c r="H235" i="2" s="1"/>
  <c r="H239" i="2" s="1"/>
  <c r="H240" i="2" s="1"/>
  <c r="E263" i="2"/>
  <c r="H263" i="2" s="1"/>
  <c r="H267" i="2" s="1"/>
  <c r="H268" i="2" s="1"/>
  <c r="I105" i="2"/>
  <c r="H113" i="2"/>
  <c r="H114" i="2" s="1"/>
  <c r="H99" i="2"/>
  <c r="H100" i="2" s="1"/>
  <c r="H85" i="2"/>
  <c r="H86" i="2" s="1"/>
  <c r="H71" i="2"/>
  <c r="H72" i="2" s="1"/>
  <c r="G179" i="2"/>
  <c r="H179" i="2" s="1"/>
  <c r="H183" i="2" s="1"/>
  <c r="H184" i="2" s="1"/>
  <c r="I258" i="2"/>
  <c r="G249" i="2"/>
  <c r="H249" i="2" s="1"/>
  <c r="H253" i="2" s="1"/>
  <c r="H254" i="2" s="1"/>
  <c r="G151" i="2"/>
  <c r="H151" i="2" s="1"/>
  <c r="H155" i="2" s="1"/>
  <c r="H156" i="2" s="1"/>
  <c r="I429" i="2"/>
  <c r="G165" i="2"/>
  <c r="H165" i="2" s="1"/>
  <c r="H169" i="2" s="1"/>
  <c r="H170" i="2" s="1"/>
  <c r="H15" i="2"/>
  <c r="H16" i="2" s="1"/>
  <c r="H423" i="2"/>
  <c r="H424" i="2" s="1"/>
  <c r="I414" i="2"/>
  <c r="H353" i="2"/>
  <c r="H354" i="2" s="1"/>
  <c r="H128" i="2" l="1"/>
  <c r="H282" i="2"/>
  <c r="H53" i="2"/>
  <c r="H57" i="2" s="1"/>
  <c r="H58" i="2" s="1"/>
  <c r="K48" i="2"/>
  <c r="H54" i="14"/>
  <c r="H35" i="14"/>
  <c r="H20" i="14"/>
  <c r="H14" i="1"/>
  <c r="H15" i="14" s="1"/>
  <c r="H57" i="14"/>
  <c r="H52" i="14"/>
  <c r="H15" i="1"/>
  <c r="H16" i="14" s="1"/>
  <c r="H11" i="1"/>
  <c r="H11" i="14" s="1"/>
  <c r="H12" i="14"/>
  <c r="H9" i="1"/>
  <c r="F9" i="1"/>
  <c r="F14" i="1"/>
  <c r="F15" i="1"/>
  <c r="F11" i="1"/>
  <c r="H9" i="14" l="1"/>
  <c r="J9" i="14" s="1"/>
  <c r="J9" i="1"/>
  <c r="J57" i="14"/>
  <c r="K57" i="14"/>
  <c r="J54" i="14"/>
  <c r="K54" i="14"/>
  <c r="J52" i="14"/>
  <c r="K52" i="14"/>
  <c r="H51" i="14"/>
  <c r="H50" i="14"/>
  <c r="H49" i="14"/>
  <c r="H46" i="14"/>
  <c r="H41" i="14"/>
  <c r="K35" i="14"/>
  <c r="J35" i="14"/>
  <c r="H30" i="14"/>
  <c r="H25" i="14"/>
  <c r="J20" i="14"/>
  <c r="K20" i="14"/>
  <c r="K16" i="14"/>
  <c r="J16" i="14"/>
  <c r="K15" i="14"/>
  <c r="J15" i="14"/>
  <c r="J12" i="14"/>
  <c r="K12" i="14"/>
  <c r="K11" i="14"/>
  <c r="J11" i="14"/>
  <c r="K14" i="1"/>
  <c r="K15" i="1"/>
  <c r="K11" i="1"/>
  <c r="H10" i="1"/>
  <c r="H10" i="14" s="1"/>
  <c r="H8" i="14" s="1"/>
  <c r="H37" i="14"/>
  <c r="H24" i="14"/>
  <c r="H29" i="14"/>
  <c r="H32" i="14"/>
  <c r="H21" i="14"/>
  <c r="H22" i="14"/>
  <c r="H45" i="14"/>
  <c r="H17" i="14"/>
  <c r="H48" i="14"/>
  <c r="K9" i="1"/>
  <c r="J11" i="1"/>
  <c r="J14" i="1"/>
  <c r="J15" i="1"/>
  <c r="F10" i="1"/>
  <c r="F8" i="1" s="1"/>
  <c r="K9" i="14" l="1"/>
  <c r="H56" i="14"/>
  <c r="H55" i="14"/>
  <c r="J51" i="14"/>
  <c r="K51" i="14"/>
  <c r="K50" i="14"/>
  <c r="J50" i="14"/>
  <c r="J49" i="14"/>
  <c r="K49" i="14"/>
  <c r="H47" i="14"/>
  <c r="K46" i="14"/>
  <c r="J46" i="14"/>
  <c r="J45" i="14"/>
  <c r="K45" i="14"/>
  <c r="H44" i="14"/>
  <c r="H42" i="14"/>
  <c r="J41" i="14"/>
  <c r="K41" i="14"/>
  <c r="H40" i="14"/>
  <c r="H39" i="14"/>
  <c r="J37" i="14"/>
  <c r="K37" i="14"/>
  <c r="H36" i="14"/>
  <c r="H34" i="14"/>
  <c r="J32" i="14"/>
  <c r="K32" i="14"/>
  <c r="H31" i="14"/>
  <c r="K29" i="14"/>
  <c r="J29" i="14"/>
  <c r="K30" i="14"/>
  <c r="J30" i="14"/>
  <c r="H27" i="14"/>
  <c r="H26" i="14"/>
  <c r="K25" i="14"/>
  <c r="J25" i="14"/>
  <c r="K24" i="14"/>
  <c r="J24" i="14"/>
  <c r="K21" i="14"/>
  <c r="J21" i="14"/>
  <c r="H19" i="14"/>
  <c r="K22" i="14"/>
  <c r="J22" i="14"/>
  <c r="K17" i="14"/>
  <c r="J17" i="14"/>
  <c r="J10" i="14"/>
  <c r="J8" i="14" s="1"/>
  <c r="K10" i="14"/>
  <c r="K10" i="1"/>
  <c r="H53" i="14"/>
  <c r="H33" i="14"/>
  <c r="H38" i="14"/>
  <c r="H43" i="14"/>
  <c r="H23" i="14"/>
  <c r="H18" i="14"/>
  <c r="H28" i="14"/>
  <c r="J10" i="1"/>
  <c r="H13" i="1"/>
  <c r="H14" i="14" s="1"/>
  <c r="J48" i="14" l="1"/>
  <c r="K56" i="14"/>
  <c r="J56" i="14"/>
  <c r="K55" i="14"/>
  <c r="J55" i="14"/>
  <c r="J53" i="14" s="1"/>
  <c r="J47" i="14"/>
  <c r="K47" i="14"/>
  <c r="J44" i="14"/>
  <c r="J43" i="14" s="1"/>
  <c r="K44" i="14"/>
  <c r="J42" i="14"/>
  <c r="K42" i="14"/>
  <c r="K40" i="14"/>
  <c r="J40" i="14"/>
  <c r="J39" i="14"/>
  <c r="J38" i="14" s="1"/>
  <c r="K39" i="14"/>
  <c r="K36" i="14"/>
  <c r="J36" i="14"/>
  <c r="J34" i="14"/>
  <c r="K34" i="14"/>
  <c r="K31" i="14"/>
  <c r="J31" i="14"/>
  <c r="J28" i="14" s="1"/>
  <c r="K27" i="14"/>
  <c r="J27" i="14"/>
  <c r="K26" i="14"/>
  <c r="J26" i="14"/>
  <c r="J23" i="14" s="1"/>
  <c r="J19" i="14"/>
  <c r="J18" i="14" s="1"/>
  <c r="K19" i="14"/>
  <c r="K14" i="14"/>
  <c r="J14" i="14"/>
  <c r="J13" i="14" s="1"/>
  <c r="H12" i="1"/>
  <c r="H13" i="14" s="1"/>
  <c r="H68" i="14" s="1"/>
  <c r="M8" i="14" s="1"/>
  <c r="F8" i="14" s="1"/>
  <c r="F13" i="1"/>
  <c r="K13" i="1" s="1"/>
  <c r="J33" i="14" l="1"/>
  <c r="J70" i="14"/>
  <c r="J61" i="14"/>
  <c r="M61" i="14" s="1"/>
  <c r="M43" i="14"/>
  <c r="F43" i="14" s="1"/>
  <c r="M23" i="14"/>
  <c r="F23" i="14" s="1"/>
  <c r="M18" i="14"/>
  <c r="F18" i="14" s="1"/>
  <c r="M28" i="14"/>
  <c r="F28" i="14" s="1"/>
  <c r="M48" i="14"/>
  <c r="F48" i="14" s="1"/>
  <c r="M53" i="14"/>
  <c r="F53" i="14" s="1"/>
  <c r="M38" i="14"/>
  <c r="F38" i="14" s="1"/>
  <c r="M13" i="14"/>
  <c r="F13" i="14" s="1"/>
  <c r="M33" i="14"/>
  <c r="F33" i="14" s="1"/>
  <c r="J62" i="14"/>
  <c r="M62" i="14" s="1"/>
  <c r="M63" i="14" s="1"/>
  <c r="M65" i="14" s="1"/>
  <c r="J13" i="1"/>
  <c r="F12" i="1"/>
  <c r="F28" i="1" l="1"/>
  <c r="T4" i="1" s="1"/>
  <c r="T4" i="14" s="1"/>
  <c r="M66" i="14"/>
  <c r="F68" i="14"/>
  <c r="M67" i="14"/>
  <c r="J12" i="1"/>
  <c r="H8" i="1"/>
  <c r="H28" i="1" s="1"/>
  <c r="M27" i="1" l="1"/>
  <c r="M26" i="1"/>
  <c r="M25" i="1"/>
  <c r="M23" i="1"/>
  <c r="U4" i="1"/>
  <c r="U4" i="14" s="1"/>
  <c r="J8" i="1"/>
  <c r="J30" i="1" s="1"/>
  <c r="S4" i="1" l="1"/>
  <c r="H289" i="2"/>
  <c r="H295" i="2" s="1"/>
  <c r="H296" i="2" s="1"/>
  <c r="S4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VINÍCIUS TOMAZ</author>
  </authors>
  <commentList>
    <comment ref="K154" authorId="0" shapeId="0" xr:uid="{BB3BC4AE-C5F1-40EE-AE72-B155BC2BF3A7}">
      <text>
        <r>
          <rPr>
            <b/>
            <sz val="9"/>
            <color indexed="81"/>
            <rFont val="Tahoma"/>
            <family val="2"/>
          </rPr>
          <t>VINÍCIUS TOMAZ:</t>
        </r>
        <r>
          <rPr>
            <sz val="9"/>
            <color indexed="81"/>
            <rFont val="Tahoma"/>
            <family val="2"/>
          </rPr>
          <t xml:space="preserve">
Metrica obra de setubal
Classe II - 2700km, média de 15,50€/dia Portagens</t>
        </r>
      </text>
    </comment>
    <comment ref="K169" authorId="0" shapeId="0" xr:uid="{D6C6F902-36F9-4D00-A5D9-466858E5A626}">
      <text>
        <r>
          <rPr>
            <b/>
            <sz val="9"/>
            <color indexed="81"/>
            <rFont val="Tahoma"/>
            <family val="2"/>
          </rPr>
          <t>VINÍCIUS TOMAZ:</t>
        </r>
        <r>
          <rPr>
            <sz val="9"/>
            <color indexed="81"/>
            <rFont val="Tahoma"/>
            <family val="2"/>
          </rPr>
          <t xml:space="preserve">
Metrica obra de setubal
Classe II - 2700km, média de 15,50€/dia Portagens</t>
        </r>
      </text>
    </comment>
  </commentList>
</comments>
</file>

<file path=xl/sharedStrings.xml><?xml version="1.0" encoding="utf-8"?>
<sst xmlns="http://schemas.openxmlformats.org/spreadsheetml/2006/main" count="2262" uniqueCount="343">
  <si>
    <t>ITEM</t>
  </si>
  <si>
    <t>QTD</t>
  </si>
  <si>
    <t>VALOR UNITÁRIO CUSTO</t>
  </si>
  <si>
    <t>1.1</t>
  </si>
  <si>
    <t>2.1</t>
  </si>
  <si>
    <t>2.2</t>
  </si>
  <si>
    <t>2.3</t>
  </si>
  <si>
    <t>3.1</t>
  </si>
  <si>
    <t>3.2</t>
  </si>
  <si>
    <t>3.3</t>
  </si>
  <si>
    <t>1.2</t>
  </si>
  <si>
    <t>1.3</t>
  </si>
  <si>
    <t>VALOR TOTAL CUSTO</t>
  </si>
  <si>
    <t xml:space="preserve">DESCRIÇÃO </t>
  </si>
  <si>
    <t>UN</t>
  </si>
  <si>
    <t>COMENTÁRIOS</t>
  </si>
  <si>
    <t>1.4</t>
  </si>
  <si>
    <t>2.4</t>
  </si>
  <si>
    <t>3.4</t>
  </si>
  <si>
    <t>DESCRIÇÃO</t>
  </si>
  <si>
    <t>V.UN</t>
  </si>
  <si>
    <t>V.TOTAL</t>
  </si>
  <si>
    <t>Acessórios</t>
  </si>
  <si>
    <t>Material 3</t>
  </si>
  <si>
    <t>Total/m2</t>
  </si>
  <si>
    <t>Total</t>
  </si>
  <si>
    <t>M.Oficial</t>
  </si>
  <si>
    <t>M.Ajudante</t>
  </si>
  <si>
    <t>Ref. ITEM</t>
  </si>
  <si>
    <t>Transporte TKH</t>
  </si>
  <si>
    <t>MD05.00</t>
  </si>
  <si>
    <t>Rentabilidade Estimada €</t>
  </si>
  <si>
    <t>Rentabilidade Estimada %</t>
  </si>
  <si>
    <t>TOTAL CUSTO</t>
  </si>
  <si>
    <t>LUCRO ESTIMADO</t>
  </si>
  <si>
    <t>Águas</t>
  </si>
  <si>
    <t>Gás</t>
  </si>
  <si>
    <t>Eletricidade</t>
  </si>
  <si>
    <t>AVAC</t>
  </si>
  <si>
    <t>SCIE</t>
  </si>
  <si>
    <t>Const. civil</t>
  </si>
  <si>
    <t>Margem  - K</t>
  </si>
  <si>
    <t>Custo Fixo</t>
  </si>
  <si>
    <t>Lucro</t>
  </si>
  <si>
    <t>K médio</t>
  </si>
  <si>
    <t>4.1</t>
  </si>
  <si>
    <t>4.2</t>
  </si>
  <si>
    <t>4.3</t>
  </si>
  <si>
    <t>4.4</t>
  </si>
  <si>
    <t>5.1</t>
  </si>
  <si>
    <t>5.2</t>
  </si>
  <si>
    <t>5.3</t>
  </si>
  <si>
    <t>5.4</t>
  </si>
  <si>
    <t>6.1</t>
  </si>
  <si>
    <t>6.2</t>
  </si>
  <si>
    <t>6.3</t>
  </si>
  <si>
    <t>6.4</t>
  </si>
  <si>
    <t>7.1</t>
  </si>
  <si>
    <t>7.2</t>
  </si>
  <si>
    <t>7.3</t>
  </si>
  <si>
    <t>7.4</t>
  </si>
  <si>
    <t>8.1</t>
  </si>
  <si>
    <t>8.2</t>
  </si>
  <si>
    <t>8.3</t>
  </si>
  <si>
    <t>8.4</t>
  </si>
  <si>
    <t>9.1</t>
  </si>
  <si>
    <t>9.2</t>
  </si>
  <si>
    <t>9.3</t>
  </si>
  <si>
    <t>9.4</t>
  </si>
  <si>
    <t>10.1</t>
  </si>
  <si>
    <t>10.2</t>
  </si>
  <si>
    <t>10.3</t>
  </si>
  <si>
    <t>10.4</t>
  </si>
  <si>
    <t>Margem Cap.</t>
  </si>
  <si>
    <t>VALOR UNITÁRIO</t>
  </si>
  <si>
    <t>VALOR TOTAL</t>
  </si>
  <si>
    <t>Notas:</t>
  </si>
  <si>
    <t xml:space="preserve">1 - </t>
  </si>
  <si>
    <t xml:space="preserve">2 - </t>
  </si>
  <si>
    <t xml:space="preserve">3 - </t>
  </si>
  <si>
    <t xml:space="preserve">4 - </t>
  </si>
  <si>
    <t xml:space="preserve">5 - </t>
  </si>
  <si>
    <t>Todos os trabalhos foram considerados em horário normal.</t>
  </si>
  <si>
    <t>A proposta só é válida em sua globalidade, reservando a empresa o direito de rever os valores em caso de adjudicação parcial.</t>
  </si>
  <si>
    <t>Tempo em dias</t>
  </si>
  <si>
    <t>Vazadouro</t>
  </si>
  <si>
    <t>Volume</t>
  </si>
  <si>
    <t>kg/m2/cm</t>
  </si>
  <si>
    <t>un</t>
  </si>
  <si>
    <t>Martelo demolidor 10kg aluguer</t>
  </si>
  <si>
    <t>Broca martelo</t>
  </si>
  <si>
    <t>Transporte de lixo</t>
  </si>
  <si>
    <t>h</t>
  </si>
  <si>
    <t>m3</t>
  </si>
  <si>
    <t>vg</t>
  </si>
  <si>
    <t>betonilha 5cm</t>
  </si>
  <si>
    <t>Consumos /rendimentos</t>
  </si>
  <si>
    <t>Área</t>
  </si>
  <si>
    <t>m2/h</t>
  </si>
  <si>
    <t>Unidade</t>
  </si>
  <si>
    <t>Valor</t>
  </si>
  <si>
    <t>Material</t>
  </si>
  <si>
    <t>dia</t>
  </si>
  <si>
    <t>Qtd pontual</t>
  </si>
  <si>
    <t>Qtd padrão</t>
  </si>
  <si>
    <t>betoneira</t>
  </si>
  <si>
    <t>Betonilha interior/exterior 25 kg cinza Seciltek classic</t>
  </si>
  <si>
    <t>Picagem de betonilha existente com espessura aproximada de 5 cm, utilizando martelo pneumático de 8 kg. O serviço inclui carga, transporte e descarte dos materiais resultantes em vazadouro autorizado.</t>
  </si>
  <si>
    <t>Execução de betonilha pré-dosada SecilTEK Classic com espessura aproximada de 5 cm, misturada em betoneira com adição de água conforme instruções do fabricante. Aplicação nivelada com acabamento sarrafeado.</t>
  </si>
  <si>
    <t>Primário Total Robbialac Hydropliolite 3 em 1 15 L</t>
  </si>
  <si>
    <t>l/m2</t>
  </si>
  <si>
    <t xml:space="preserve">PRIMARIO EP/GC 300 15L 10-600 CIN </t>
  </si>
  <si>
    <t>Primário para fachadas HIDRO ARMADURA FIXADOR 15L</t>
  </si>
  <si>
    <t>Primário anti salitre 1K 4 litros</t>
  </si>
  <si>
    <t>Primário para paredes ROBBIALAC PLASTRON 15L</t>
  </si>
  <si>
    <r>
      <t xml:space="preserve">Execução de esquema de pintura com aplicação de Tinta de interior mate STUCOMAT ROBBIALAC </t>
    </r>
    <r>
      <rPr>
        <sz val="11"/>
        <color rgb="FFFF0000"/>
        <rFont val="Aptos Narrow"/>
        <family val="2"/>
      </rPr>
      <t>NSC...</t>
    </r>
    <r>
      <rPr>
        <sz val="11"/>
        <color theme="1"/>
        <rFont val="Aptos Narrow"/>
        <family val="2"/>
      </rPr>
      <t>, aplicado em 2 demãos. Inclui proteção de rodapé, caixilharias, guarnições de portas, utilizando fita multisuperficies, e manga plástica para pavimento.</t>
    </r>
  </si>
  <si>
    <t>Tinta de interior mate STUCOMAT BRANCO 15L ROBBIALAC</t>
  </si>
  <si>
    <t>Robbialac Robbiotel Mate Anti_Fungos 10L</t>
  </si>
  <si>
    <t>Tinta de interior Vinylrep Extra 15L branco</t>
  </si>
  <si>
    <t>Tinta de interior e exterior semi-mate REP BRANCO 15L ROBBIALAC</t>
  </si>
  <si>
    <t>CIN VinylMatt Mate para Paredes interiores</t>
  </si>
  <si>
    <t>Aluguer aindame</t>
  </si>
  <si>
    <t>Andaime - transporte</t>
  </si>
  <si>
    <t>Escada multifunções MULTIUSOS 4X3 COM PLATAFORMA 3.49M</t>
  </si>
  <si>
    <t>Andaime dobrável 90x190 plataforma 190 C/E - 4,70 m altura de trabalho</t>
  </si>
  <si>
    <t>https://www.iberandamios.com/pt/andaime-dobravel-90-cm/andaime-dobravel-90x190-plataforma-190-ce-470-m-altura-de-trabalho/</t>
  </si>
  <si>
    <t>Montagem e desmontagem de estaleiro provisório, incluindo a organização inicial do canteiro de obras com definição de áreas de armazenamento. Considera-se fornecimento de meios elevatórios para execução dos trabalhos, todos homolagos pelo CE e seguindo as normas de SST.</t>
  </si>
  <si>
    <t>Demolição de azulejo em parede de qualquer natureza, utilizando martelo de percussão 3,7kg, considerando utilização de cinzel acoplado ao martelo. O serviço inclui carga, transporte e descarte dos materiais resultantes em vazadouro autorizado.</t>
  </si>
  <si>
    <t>Demolição de pavimento cerâmico de qualquer natureza com espessura até 20mm, utilizando martelo de percussão 3,7kg, considerando utilização de cinzel acoplado ao martelo. O serviço inclui carga, transporte e descarte dos materiais resultantes em vazadouro autorizado.</t>
  </si>
  <si>
    <t>Demolição de forra em gesso cartonado, incluindo estrutura e revestimento acústico caso exista. O serviço inclui carga, transporte e descarte dos materiais resultantes em vazadouro autorizado.</t>
  </si>
  <si>
    <t>Demolição de teto falso em gesso cartonado, incluindo estrutura e revestimento acústico caso exista. O serviço inclui carga, transporte e descarte dos materiais resultantes em vazadouro autorizado.</t>
  </si>
  <si>
    <t>Demolição de divisória em gesso cartonado, incluindo estrutura e revestimento acústico caso exista. O serviço inclui carga, transporte e descarte dos materiais resultantes em vazadouro autorizado.</t>
  </si>
  <si>
    <t>Demolição de porta de madeira 80x200cm, considerando aro, guarnição, sistema de fixações e todos os acessórios. O serviço inclui carga, transporte e descarte dos materiais resultantes em vazadouro autorizado.</t>
  </si>
  <si>
    <t>Demolição de rodapé de madeira e/ou PVC. O serviço inclui carga, transporte e descarte dos materiais resultantes em vazadouro autorizado.</t>
  </si>
  <si>
    <t>Demolição de rodapé cerâmico. O serviço inclui carga, transporte e descarte dos materiais resultantes em vazadouro autorizado.</t>
  </si>
  <si>
    <t>Rebardadora + disco</t>
  </si>
  <si>
    <t>Abertura e fecho de roço em parede de betão 5x5cm, para passagem de tubagens ou condutas, executado com recurso a ferramentas elétricas (com rebarbadora e martelo elétrico), incluindo remoção e transporte do entulho, fixação da tubagem, fecho com argamassa pré-dosada SecilTEK Redur, misturada manualmente com adição de água conforme instruções do fabricante e regularização da superfície, pronta a receber novo revestimento.</t>
  </si>
  <si>
    <t>m/h</t>
  </si>
  <si>
    <t>Demolição de alvenaria em tijolo cerâmico até 15cm, com ou sem revestimento de reboco, com altura de alvenaria 0&gt;300cm, executada manualmente ou com recurso a ferramenta elétrica, incluindo remoção de entulho, carga, transporte e descarte em vazadouro autorizado.</t>
  </si>
  <si>
    <t>Demolição de alvenaria em bloco de betão até 25cm, com ou sem revestimento de reboco, com altura de alvenaria 0&gt;300cm, executada manualmente ou com recurso a ferramenta elétrica, incluindo remoção de entulho, carga, transporte e descarte em vazadouro autorizado.</t>
  </si>
  <si>
    <t>Levantamento de pavimento flutuante (laminado, vinílico), incluindo desencaixe manual, remoção de subcamada (se aplicável), acondicionamento, carga, transporte e descarte dos resíduos em vazadouro autorizado</t>
  </si>
  <si>
    <t>Demolição de conjunto de cozinha (madeira), módulos, portas, gavetas, rodapé e acessórios. O serviço inclui carga, transporte e descarte dos materiais resultantes em vazadouro autorizado.</t>
  </si>
  <si>
    <t>Tijolo oco simples 30x20x11 cm</t>
  </si>
  <si>
    <t>Argamassa de alvenaria 25 kg cinza Seciltek</t>
  </si>
  <si>
    <t>Bloco de betão 50X20X20 cm alvenaria</t>
  </si>
  <si>
    <t>Execução de reboco com para reboco e assentamento 25 kg Seciltek redur multi, aplicada manualmente, para regularização de paredes internas ou externas, com espessura média de 1,5 cm, incluindo preparação da base, umedecimento, aplicação e desempeno. Não inclui pintura ou acabamentos finais.</t>
  </si>
  <si>
    <t>Argamassa para reboco e assentamento 25 kg Seciltek redur multi</t>
  </si>
  <si>
    <t>Gesso estuque 30KG</t>
  </si>
  <si>
    <t>kg/m2/mm</t>
  </si>
  <si>
    <t>Gesso</t>
  </si>
  <si>
    <t>FI Estrutura</t>
  </si>
  <si>
    <t>m2</t>
  </si>
  <si>
    <t>Analise financeira</t>
  </si>
  <si>
    <t>Mão de obra</t>
  </si>
  <si>
    <t>IVA</t>
  </si>
  <si>
    <t>Materiais</t>
  </si>
  <si>
    <t>Materiais + Transportes + Acessórios</t>
  </si>
  <si>
    <t>Transporte</t>
  </si>
  <si>
    <t>V.TOTAL C/Margem</t>
  </si>
  <si>
    <t>Fornecimento de meios elevatórios tipo: Braço articulado 12m a Disel, incluindo carga, transporte e recolha de equipamento em obra.</t>
  </si>
  <si>
    <t>Braço articulado 12 m disel - GoingUp</t>
  </si>
  <si>
    <t>Entrega de equipamento</t>
  </si>
  <si>
    <t>Recolha de equipamento</t>
  </si>
  <si>
    <t>dias</t>
  </si>
  <si>
    <t>Abertura e fecho de roço em pavimento 5x3cm (betonilha), para passagem de tubagens, executado com recurso a ferramentas elétricas (com rebarbadora e martelo elétrico), incluindo remoção e transporte do entulho, fixação da tubagem, fecho com argamassa pré-dosada SecilTEK Classic, misturada manualmente com adição de água conforme instruções do fabricante e regularização da superfície, pronta a receber novo revestimento.</t>
  </si>
  <si>
    <t>Abertura e fecho de roço em pavimento 5x5cm (betão), para passagem de tubagens, executado com recurso a ferramentas elétricas (com rebarbadora e martelo elétrico), incluindo remoção e transporte do entulho, fixação da tubagem, fecho com argamassa pré-dosada SecilTEK Classic, misturada manualmente com adição de água conforme instruções do fabricante e regularização da superfície, pronta a receber novo revestimento.</t>
  </si>
  <si>
    <t>Total/un</t>
  </si>
  <si>
    <t>Remoção de sanita. O serviço inclui carga, transporte e descarte dos materiais resultantes em vazadouro autorizado.</t>
  </si>
  <si>
    <t>Remoção de banheira (cerâmica/fibra/metal). O serviço inclui carga, transporte e descarte dos materiais resultantes em vazadouro autorizado.</t>
  </si>
  <si>
    <t>Remoção de base de duche e resguardo. O serviço inclui carga, transporte e descarte dos materiais resultantes em vazadouro autorizado.</t>
  </si>
  <si>
    <t>Remoção de móvel, lavatório, sifão, torneira. O serviço inclui carga, transporte e descarte dos materiais resultantes em vazadouro autorizado.</t>
  </si>
  <si>
    <t>Construção</t>
  </si>
  <si>
    <t>Armadura elaborada em fábrica com aço em varões nervurados, A400 NR, de vários diâmetros.</t>
  </si>
  <si>
    <t>kg</t>
  </si>
  <si>
    <t>Execução de alvenaria com bloco cerâmico furado de 30x20x11 cm, assente com alvenaria 25 kg cinza Seciltek com altura de alvenaria 0&gt;300cm, executada manualmente, prumada, nivelada e alinhada, incluindo cortes, juntas, enchimentos e limpeza do local de trabalho. Não inclui reboco ou revestimentos finais.</t>
  </si>
  <si>
    <t>Execução de alvenaria com bloco de Bloco de betão 50X20X20 cm, assente com alvenaria 25 kg cinza Seciltek com altura de alvenaria 0&gt;300cm, prumada, nivelada e alinhada, incluindo cortes, juntas, enchimentos e limpeza do local de trabalho. Não inclui reboco ou revestimentos finais.</t>
  </si>
  <si>
    <t>Aplicação de estuque à base de gesso, ou massa pronta, para regularização fina e acabamento final de paredes e tetos internos, com espessura entre 15mm, incluindo preparação da superfície, aplicação em demãos, lixamento e limpeza final. Não inclui pintura ou outros revestimentos.</t>
  </si>
  <si>
    <t>Cantoneiras de plástico e metal, estáveis à acção dos sulfatos. 2,5m</t>
  </si>
  <si>
    <t>Execução de esquema de pintura com aplicação de primário Primário EP/GC 300 15L 10-600 CIN , aplicado em 1 demão para preparação de superficie, considerando lixagem utilizando lixadora de parede acoplada ao aspirador de pó de sólidos e líquidos. Inclui proteção de rodapé, caixilharias, guarnições de portas, utilizando fita multisuperficies, e manga plástica para pavimento.</t>
  </si>
  <si>
    <t>CIN VinylMatt Mate para Paredes interiores 15L</t>
  </si>
  <si>
    <r>
      <t xml:space="preserve">Execução de esquema de pintura com aplicação de Tinta CIN VinylMatt Mate para Paredes interiores </t>
    </r>
    <r>
      <rPr>
        <sz val="11"/>
        <color rgb="FFFF0000"/>
        <rFont val="Aptos Narrow"/>
        <family val="2"/>
      </rPr>
      <t>NSC...</t>
    </r>
    <r>
      <rPr>
        <sz val="11"/>
        <color theme="1"/>
        <rFont val="Aptos Narrow"/>
        <family val="2"/>
      </rPr>
      <t>, aplicado em 2 demãos. Inclui proteção de rodapé, caixilharias, guarnições de portas, utilizando fita multisuperficies, e manga plástica para pavimento.</t>
    </r>
  </si>
  <si>
    <t>Picagem de reboco existente paredes e/ou tetos, utilizando martelo pneumático de 8 kg. O serviço inclui carga, transporte e descarte dos materiais resultantes em vazadouro autorizado.</t>
  </si>
  <si>
    <t>metros</t>
  </si>
  <si>
    <t>Total/m</t>
  </si>
  <si>
    <t>Abertura e fecho de roço em alvenaria 5x3cm, para passagem de tubagens, executado com recurso a ferramentas elétricas (com rebarbadora e martelo elétrico), incluindo remoção e transporte do entulho, fixação da tubagem, fecho com argamassa pré-dosada SecilTEK Redur, misturada manualmente com adição de água conforme instruções do fabricante e regularização da superfície, pronta a receber novo revestimento.</t>
  </si>
  <si>
    <t>Metros</t>
  </si>
  <si>
    <t>Fornecimento e instalação de pavimento vinilico em réguas SPC, sistema click e classe de resistencia a abrasão a trafego intenso, incluindo cortes, remates e todos os trabalhos necessários para excelente acabamento. Valor do pavimento até 35€/m2</t>
  </si>
  <si>
    <t>Pavimento vinilico SPC em réguas</t>
  </si>
  <si>
    <t>m2/caixa</t>
  </si>
  <si>
    <t>Pavimento flutuante laminado em réguas</t>
  </si>
  <si>
    <t>Fornecimento e instalação de pavimento flutuante laminado em réguas, sistema click e classe de resistencia a abrasão a trafego intenso, incluindo cortes, remates e todos os trabalhos necessários para excelente acabamento. Valor do pavimento até 25€/m2</t>
  </si>
  <si>
    <t xml:space="preserve">Fornecimento e instalação de rodapé em MDF com melanima branca com 100mm x 14mm, incluindo cortes, remates, colas e todos os trabalhos necessários para excelente acabamento. </t>
  </si>
  <si>
    <t>Rodapés de MDF ARTENS BRANCO 10X1.4X225CM (PACK 5UN)</t>
  </si>
  <si>
    <t>pack</t>
  </si>
  <si>
    <t>Cola e veda força extrema 290 ml branco T-rex Power</t>
  </si>
  <si>
    <t>Serra de bancada</t>
  </si>
  <si>
    <t xml:space="preserve">Fornecimento e instalação de rodapé em PVC com melanima branca com 100mm x 14mm, incluindo cortes, remates, colas e todos os trabalhos necessários para excelente acabamento. </t>
  </si>
  <si>
    <t>Rodapé poliestireno branco mate 15x100x2200 mm Artens</t>
  </si>
  <si>
    <t>m</t>
  </si>
  <si>
    <t>Relatório Técnico</t>
  </si>
  <si>
    <t>Eng. Civil</t>
  </si>
  <si>
    <t>V.TOTAL S/Margem</t>
  </si>
  <si>
    <t>Teste Corantes</t>
  </si>
  <si>
    <t>V.TOTAL C/Margem 1,3</t>
  </si>
  <si>
    <t>IVA 23%</t>
  </si>
  <si>
    <t>Teste de pressão</t>
  </si>
  <si>
    <t>Técnico</t>
  </si>
  <si>
    <t>Teste de obturação</t>
  </si>
  <si>
    <t>Teste com termografia</t>
  </si>
  <si>
    <t>Remoção de cerâmicos</t>
  </si>
  <si>
    <t>Abertura de roços</t>
  </si>
  <si>
    <t>Oficial de Canalizador</t>
  </si>
  <si>
    <t>Servente de Canalizador</t>
  </si>
  <si>
    <t>Fecho de roços com argamassa</t>
  </si>
  <si>
    <t>Regularização de paredes</t>
  </si>
  <si>
    <t>Fornecimento e aplicação de cerâmico</t>
  </si>
  <si>
    <t xml:space="preserve">Trabalhos de movimentação e proteção de móveis </t>
  </si>
  <si>
    <t>Trabalhos preparatórios de obra</t>
  </si>
  <si>
    <t>Depósito de resíduos a vazadouro</t>
  </si>
  <si>
    <t xml:space="preserve">Limpeza de obra </t>
  </si>
  <si>
    <t>Desmontagem (loiças)</t>
  </si>
  <si>
    <t xml:space="preserve">Montagem (loiças) </t>
  </si>
  <si>
    <t>valor global</t>
  </si>
  <si>
    <t>Total/vg</t>
  </si>
  <si>
    <t>Fornecimento e aplicação de tubo multicamada 20mm</t>
  </si>
  <si>
    <t>Reparação de rotura em tubo multicamada Ø20mm, incluindo remoção de cerâmico, abertura de roço, fecho com argamassa de reboco, fornecimento e aplicação de cerâmica similar a existente, incluindo todos os trabalhos necessários para excelente acabamento.</t>
  </si>
  <si>
    <t>Deslocação</t>
  </si>
  <si>
    <t>Oficial Pedreiro</t>
  </si>
  <si>
    <t>Ajudante de predeiro</t>
  </si>
  <si>
    <t>Ajudante de pedreiro</t>
  </si>
  <si>
    <t>Construção civil</t>
  </si>
  <si>
    <t>Canalização</t>
  </si>
  <si>
    <t>V.UN - Venda</t>
  </si>
  <si>
    <t>V.TOTAL - Venda</t>
  </si>
  <si>
    <t>K</t>
  </si>
  <si>
    <t>Ajudante de canalizador</t>
  </si>
  <si>
    <t>Execução de reboco para estuque</t>
  </si>
  <si>
    <t xml:space="preserve">Execução de estuque em paredes </t>
  </si>
  <si>
    <t>Preparação de superficies (lixar/emassar)</t>
  </si>
  <si>
    <t>Fornecimento e aplicação de primário</t>
  </si>
  <si>
    <t>Pintura de paredes</t>
  </si>
  <si>
    <t>Reparação de rotura em tubo multicamada Ø20mm, incluindo abertura de roço, fecho com argamassa de reboco, preparação de superficie com massa de estuque, execução de pintura com primário e tinta plástica, incluindo todos os trabalhos necessários para excelente acabamento.</t>
  </si>
  <si>
    <t>Execução de esgotos com tubo diâmetro 40</t>
  </si>
  <si>
    <t>Fornecimento e aplicação de sifão de pavimento</t>
  </si>
  <si>
    <t>Execução de novo canhão de sanita e ligações à prumada tubo 90</t>
  </si>
  <si>
    <t>Reparação de rotura em tubo de esgoto sanita, incluindo remoção de cerâmico, abertura de roço, fecho com argamassa de reboco, fornecimento e aplicação de cerâmica similar a existente, incluindo todos os trabalhos necessários para excelente acabamento.</t>
  </si>
  <si>
    <t>Abertura de janela no mureto da banheira</t>
  </si>
  <si>
    <t>Fornecimento e aplicação de válvula de banheira</t>
  </si>
  <si>
    <t>Fornecimento e aplicação de tubo PVC 40"</t>
  </si>
  <si>
    <t>Fornecimento e aplicação de grelha no mureto da banheira</t>
  </si>
  <si>
    <t xml:space="preserve">Oficial de Canalizador </t>
  </si>
  <si>
    <t>Desmontagem e montagem de base de duche</t>
  </si>
  <si>
    <t>Desmontagem e montagem de resguardo</t>
  </si>
  <si>
    <t xml:space="preserve">Fornecimento e subsituição válvula base duche </t>
  </si>
  <si>
    <t>Fornecimento e substituição de tubo Diâmetro 40"</t>
  </si>
  <si>
    <t>Isolamento de juntas</t>
  </si>
  <si>
    <t>Trabalhos de movimentação e proteção de móveis e superfícies</t>
  </si>
  <si>
    <t>Substituição de válvula de base de duche, incluindo todos os trabalhos necessários para excelente acabamento.</t>
  </si>
  <si>
    <t>Substituição de válvula de banheira com instalação de grelha de ventilação, incluindo todos os trabalhos necessários para excelente acabamento.</t>
  </si>
  <si>
    <t>Deslocação fora lisboa</t>
  </si>
  <si>
    <t>km</t>
  </si>
  <si>
    <t>-</t>
  </si>
  <si>
    <t>Total a Faturar</t>
  </si>
  <si>
    <t>TOTAL PROPOSTA</t>
  </si>
  <si>
    <t>Condições de pagamento</t>
  </si>
  <si>
    <t>1º Fatura</t>
  </si>
  <si>
    <t>2º Fatura</t>
  </si>
  <si>
    <t>3º Fatura</t>
  </si>
  <si>
    <t>Quantidade</t>
  </si>
  <si>
    <t>Qtd adaptável</t>
  </si>
  <si>
    <t xml:space="preserve">V.TOTAL </t>
  </si>
  <si>
    <t>Transporte TecKnowHow</t>
  </si>
  <si>
    <t>Aluguer - Equipamentos</t>
  </si>
  <si>
    <t>Materiais - Construção</t>
  </si>
  <si>
    <t>Subcontratados</t>
  </si>
  <si>
    <t>Abastecimento</t>
  </si>
  <si>
    <t>Esgoto</t>
  </si>
  <si>
    <t>Incêndio</t>
  </si>
  <si>
    <t>Valor global</t>
  </si>
  <si>
    <t>Demolição</t>
  </si>
  <si>
    <t>Aluguel</t>
  </si>
  <si>
    <t>Extras - Diversos</t>
  </si>
  <si>
    <t>cj</t>
  </si>
  <si>
    <t>Volume m3</t>
  </si>
  <si>
    <t>Reboco</t>
  </si>
  <si>
    <t>Imposto sobre orçamento</t>
  </si>
  <si>
    <t>MATERIAIS OBRA</t>
  </si>
  <si>
    <t>MÃO DE OBRA</t>
  </si>
  <si>
    <t>DESLOCAÇÕES</t>
  </si>
  <si>
    <t>Execução de esquema de pintura com aplicação de Primário Total Robbialac Hydropliolite 3 em 1, aplicado em 1 demão para preparação de superficie, considerando lixagem utilizando lixadora de parede acoplada ao aspirador de pó de sólidos e líquidos. Inclui proteção de rodapé, caixilharias, guarnições de portas, utilizando fita multisuperficies, e manga plástica para pavimento.</t>
  </si>
  <si>
    <t>Os valores apresentados nas propostas estão sujeitos ao Imposto sobre o Valor Acrescentado (IVA), aplicado à taxa legal em vigor.</t>
  </si>
  <si>
    <t>Condições de pagamento: 50% na adjudicação a P.P., 30% a meio da obra  a P.P. e, 20% nos términos dos trabalhos  a P.P. *P.P. (Pronto pagamento)</t>
  </si>
  <si>
    <t>Valor dia</t>
  </si>
  <si>
    <t>Valor total</t>
  </si>
  <si>
    <t>Colaborador</t>
  </si>
  <si>
    <t>M.Oficial 01</t>
  </si>
  <si>
    <t>M.Ajudante 02</t>
  </si>
  <si>
    <t>M.Oficial 02</t>
  </si>
  <si>
    <t>M.Oficial 03</t>
  </si>
  <si>
    <t>M.Ajudante 03</t>
  </si>
  <si>
    <t>Horas de trabalho</t>
  </si>
  <si>
    <t>Divisão</t>
  </si>
  <si>
    <t>Quarto</t>
  </si>
  <si>
    <t>TOTAL</t>
  </si>
  <si>
    <t>Quadro de áreas</t>
  </si>
  <si>
    <t>Paredes</t>
  </si>
  <si>
    <t>Teto</t>
  </si>
  <si>
    <t>Perímetro</t>
  </si>
  <si>
    <t>Altura</t>
  </si>
  <si>
    <t>Largura</t>
  </si>
  <si>
    <t>Comprimento</t>
  </si>
  <si>
    <t>Negociação</t>
  </si>
  <si>
    <t>Custo Km</t>
  </si>
  <si>
    <t>Via Verde km</t>
  </si>
  <si>
    <t>Seguro km</t>
  </si>
  <si>
    <t>Desgaste Km</t>
  </si>
  <si>
    <t>IUC Km</t>
  </si>
  <si>
    <t>Inspeção Km</t>
  </si>
  <si>
    <t>Tempo de projeto (h)</t>
  </si>
  <si>
    <t>Custo Unitário</t>
  </si>
  <si>
    <t>Custo Total</t>
  </si>
  <si>
    <t>Km Obra</t>
  </si>
  <si>
    <t>Custo Semana</t>
  </si>
  <si>
    <t>Custo dia</t>
  </si>
  <si>
    <t>Custo dentro de Lisboa</t>
  </si>
  <si>
    <t>Custo Fora de Lisboa</t>
  </si>
  <si>
    <t>Quarto 2</t>
  </si>
  <si>
    <t>CO26/0034</t>
  </si>
  <si>
    <t>Morada: Rua António José de Almeida, 3º Direito, Brandoa, 2650-381</t>
  </si>
  <si>
    <t>Responsável: Vinícius Tomaz</t>
  </si>
  <si>
    <t>Cliente: Tiago Parada</t>
  </si>
  <si>
    <t>Quarto 01 - Crianças</t>
  </si>
  <si>
    <t>Solução para tetos interiores, constituída por estrutura com perfis metálicos horizontais F530 afastados a cada 500 mm, suspensos por elementos verticais fixados ao teto, nos quais é fixada 1 camada de placas Gyptec BA13A (STANDARD). Massas, bandas para juntas e acessórios de fixação. Superfícies prontas para acabamento final de pintura ou decoração</t>
  </si>
  <si>
    <t>Tinta interior parede Branco facil robbialac branco mate 15L</t>
  </si>
  <si>
    <t>Fornecimento de Sanca HOMESTAR A5 200X3.5X3.5cm em todo perimetro do teto falso.</t>
  </si>
  <si>
    <t>Execução de esquema de pintura em teto com Tinta Robbialac 2 em 1 branco, aplicado em 2 demão. Inclui proteção de rodapé, caixilharias, guarnições de portas, utilizando fita multisuperficies, e manga plástica para pavimento</t>
  </si>
  <si>
    <t>Material para teto falso</t>
  </si>
  <si>
    <t>Martelo demolidor 6kg aluguer</t>
  </si>
  <si>
    <t>Sanca HOMESTAR A5 200X3.5X3.5CM</t>
  </si>
  <si>
    <t>Cola para Sanca</t>
  </si>
  <si>
    <t>Condições de pagamento: 50% na adjudicação a P.P. e, 50% nos términos dos trabalhos  a P.P. *P.P. (Pronto pagamento)</t>
  </si>
  <si>
    <t>Todos os itens omissos serão apresentados em forma de proposta para avaliação do cliente.</t>
  </si>
  <si>
    <t>Não está considerado movimentação de móveis e/ou bens pessoais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</si>
</sst>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1]_-;\-* #,##0.00\ [$€-1]_-;_-* &quot;-&quot;??\ [$€-1]_-;_-@_-"/>
    <numFmt numFmtId="165" formatCode="0.00&quot; m²&quot;"/>
    <numFmt numFmtId="166" formatCode="0.00&quot; m&quot;"/>
    <numFmt numFmtId="167" formatCode="#,##0.00\ &quot;€&quot;"/>
    <numFmt numFmtId="168" formatCode="#,##0.0000\ &quot;€&quot;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ptos Narrow"/>
      <family val="2"/>
    </font>
    <font>
      <sz val="7"/>
      <color rgb="FFFF0000"/>
      <name val="Aptos Narrow"/>
      <family val="2"/>
    </font>
    <font>
      <b/>
      <sz val="7"/>
      <color rgb="FF000000"/>
      <name val="Aptos Narrow"/>
      <family val="2"/>
    </font>
    <font>
      <sz val="11"/>
      <color theme="1"/>
      <name val="Aptos Narrow"/>
      <family val="2"/>
    </font>
    <font>
      <sz val="7"/>
      <color theme="1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9"/>
      <color theme="0"/>
      <name val="Aptos Narrow"/>
      <family val="2"/>
    </font>
    <font>
      <b/>
      <sz val="9"/>
      <color theme="1"/>
      <name val="Aptos Narrow"/>
      <family val="2"/>
    </font>
    <font>
      <sz val="9"/>
      <color theme="0"/>
      <name val="Aptos Narrow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</font>
    <font>
      <sz val="9"/>
      <name val="Aptos Narrow"/>
      <family val="2"/>
    </font>
    <font>
      <b/>
      <sz val="9"/>
      <color rgb="FFFF0000"/>
      <name val="Aptos Narrow"/>
      <family val="2"/>
    </font>
    <font>
      <sz val="9"/>
      <color rgb="FFFF0000"/>
      <name val="Aptos Narrow"/>
      <family val="2"/>
    </font>
    <font>
      <sz val="8"/>
      <color theme="1"/>
      <name val="Aptos Narrow"/>
      <family val="2"/>
    </font>
    <font>
      <b/>
      <sz val="7"/>
      <color theme="1"/>
      <name val="Aptos Narrow"/>
      <family val="2"/>
    </font>
    <font>
      <b/>
      <sz val="8"/>
      <color theme="1"/>
      <name val="Aptos Narrow"/>
      <family val="2"/>
    </font>
    <font>
      <b/>
      <sz val="7"/>
      <name val="Aptos Narrow"/>
      <family val="2"/>
    </font>
    <font>
      <sz val="7"/>
      <name val="Aptos Narrow"/>
      <family val="2"/>
    </font>
    <font>
      <b/>
      <sz val="9"/>
      <name val="Aptos Narrow"/>
      <family val="2"/>
    </font>
    <font>
      <b/>
      <sz val="9"/>
      <color rgb="FFFF6501"/>
      <name val="Aptos Narrow"/>
      <family val="2"/>
    </font>
    <font>
      <b/>
      <sz val="7"/>
      <color rgb="FFFF6501"/>
      <name val="Aptos Narrow"/>
      <family val="2"/>
    </font>
    <font>
      <b/>
      <sz val="10"/>
      <color rgb="FFFF6501"/>
      <name val="Aptos Narrow"/>
      <family val="2"/>
    </font>
    <font>
      <b/>
      <sz val="11"/>
      <color rgb="FFFF6501"/>
      <name val="Aptos Narrow"/>
      <family val="2"/>
    </font>
    <font>
      <b/>
      <sz val="8"/>
      <color theme="0"/>
      <name val="Aptos Narrow"/>
      <family val="2"/>
    </font>
    <font>
      <b/>
      <sz val="9"/>
      <color rgb="FFFFC000"/>
      <name val="Aptos Narrow"/>
      <family val="2"/>
    </font>
    <font>
      <b/>
      <sz val="9"/>
      <color rgb="FF010080"/>
      <name val="Aptos Narrow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color rgb="FFFF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Aptos Narrow"/>
      <family val="2"/>
    </font>
    <font>
      <b/>
      <sz val="10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0"/>
      <color rgb="FFFFC000"/>
      <name val="Aptos Narrow"/>
      <family val="2"/>
    </font>
    <font>
      <sz val="10"/>
      <color theme="0"/>
      <name val="Aptos Narrow"/>
      <family val="2"/>
    </font>
    <font>
      <b/>
      <sz val="16"/>
      <color theme="0"/>
      <name val="Aptos Narrow"/>
      <family val="2"/>
    </font>
    <font>
      <b/>
      <sz val="10"/>
      <color rgb="FFFF0000"/>
      <name val="Aptos Narrow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501"/>
        <bgColor indexed="64"/>
      </patternFill>
    </fill>
    <fill>
      <patternFill patternType="solid">
        <fgColor rgb="FF010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433">
    <xf numFmtId="0" fontId="0" fillId="0" borderId="0" xfId="0"/>
    <xf numFmtId="0" fontId="7" fillId="0" borderId="0" xfId="0" applyFont="1" applyAlignment="1">
      <alignment horizontal="left" vertical="top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4" fontId="4" fillId="0" borderId="0" xfId="1" applyFont="1" applyFill="1" applyBorder="1" applyAlignment="1">
      <alignment horizontal="center" vertical="center"/>
    </xf>
    <xf numFmtId="44" fontId="8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2" fontId="7" fillId="0" borderId="0" xfId="1" applyNumberFormat="1" applyFont="1" applyFill="1" applyBorder="1" applyAlignment="1">
      <alignment horizontal="left" vertical="top"/>
    </xf>
    <xf numFmtId="44" fontId="7" fillId="0" borderId="0" xfId="1" applyFont="1" applyFill="1" applyBorder="1" applyAlignment="1">
      <alignment horizontal="left"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44" fontId="19" fillId="0" borderId="4" xfId="1" applyFont="1" applyFill="1" applyBorder="1" applyAlignment="1">
      <alignment horizontal="left" vertical="center"/>
    </xf>
    <xf numFmtId="44" fontId="6" fillId="0" borderId="12" xfId="1" applyFont="1" applyFill="1" applyBorder="1" applyAlignment="1">
      <alignment horizontal="left" vertical="center"/>
    </xf>
    <xf numFmtId="44" fontId="20" fillId="0" borderId="12" xfId="1" applyFont="1" applyFill="1" applyBorder="1" applyAlignment="1">
      <alignment horizontal="left" vertical="center"/>
    </xf>
    <xf numFmtId="0" fontId="16" fillId="0" borderId="0" xfId="2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4" fontId="12" fillId="0" borderId="0" xfId="1" applyFont="1" applyFill="1" applyBorder="1" applyAlignment="1">
      <alignment horizontal="center" vertical="center"/>
    </xf>
    <xf numFmtId="2" fontId="26" fillId="0" borderId="0" xfId="1" applyNumberFormat="1" applyFont="1" applyFill="1" applyBorder="1" applyAlignment="1">
      <alignment horizontal="center" vertical="center"/>
    </xf>
    <xf numFmtId="2" fontId="25" fillId="0" borderId="0" xfId="2" applyNumberFormat="1" applyFont="1" applyFill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29" fillId="3" borderId="0" xfId="0" applyNumberFormat="1" applyFont="1" applyFill="1" applyAlignment="1">
      <alignment horizontal="center" vertical="center"/>
    </xf>
    <xf numFmtId="2" fontId="21" fillId="7" borderId="0" xfId="0" applyNumberFormat="1" applyFont="1" applyFill="1" applyAlignment="1">
      <alignment horizontal="center" vertical="center"/>
    </xf>
    <xf numFmtId="2" fontId="21" fillId="8" borderId="0" xfId="0" applyNumberFormat="1" applyFont="1" applyFill="1" applyAlignment="1">
      <alignment horizontal="center" vertical="center"/>
    </xf>
    <xf numFmtId="2" fontId="21" fillId="9" borderId="0" xfId="0" applyNumberFormat="1" applyFont="1" applyFill="1" applyAlignment="1">
      <alignment horizontal="center" vertical="center"/>
    </xf>
    <xf numFmtId="2" fontId="29" fillId="3" borderId="0" xfId="3" applyNumberFormat="1" applyFont="1" applyFill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2" fontId="16" fillId="0" borderId="0" xfId="2" applyNumberFormat="1" applyFont="1" applyFill="1" applyBorder="1" applyAlignment="1">
      <alignment horizontal="center" vertical="center"/>
    </xf>
    <xf numFmtId="44" fontId="16" fillId="0" borderId="0" xfId="1" applyFont="1" applyFill="1" applyBorder="1" applyAlignment="1">
      <alignment vertical="center"/>
    </xf>
    <xf numFmtId="44" fontId="4" fillId="4" borderId="0" xfId="1" applyFont="1" applyFill="1" applyBorder="1" applyAlignment="1">
      <alignment horizontal="center" vertical="center"/>
    </xf>
    <xf numFmtId="44" fontId="5" fillId="4" borderId="0" xfId="1" applyFont="1" applyFill="1" applyBorder="1" applyAlignment="1">
      <alignment horizontal="center" vertical="center"/>
    </xf>
    <xf numFmtId="2" fontId="28" fillId="0" borderId="0" xfId="0" applyNumberFormat="1" applyFont="1" applyAlignment="1">
      <alignment horizontal="center" vertical="top"/>
    </xf>
    <xf numFmtId="2" fontId="27" fillId="0" borderId="0" xfId="0" applyNumberFormat="1" applyFont="1" applyAlignment="1">
      <alignment horizontal="center" vertical="top" wrapText="1"/>
    </xf>
    <xf numFmtId="2" fontId="25" fillId="0" borderId="7" xfId="1" applyNumberFormat="1" applyFont="1" applyFill="1" applyBorder="1" applyAlignment="1">
      <alignment horizontal="center" vertical="center"/>
    </xf>
    <xf numFmtId="2" fontId="25" fillId="0" borderId="15" xfId="1" applyNumberFormat="1" applyFont="1" applyFill="1" applyBorder="1" applyAlignment="1">
      <alignment horizontal="center" vertical="center"/>
    </xf>
    <xf numFmtId="2" fontId="25" fillId="0" borderId="5" xfId="1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4" fontId="7" fillId="10" borderId="0" xfId="1" applyFont="1" applyFill="1" applyAlignment="1">
      <alignment horizontal="center" vertical="center"/>
    </xf>
    <xf numFmtId="2" fontId="7" fillId="10" borderId="0" xfId="1" applyNumberFormat="1" applyFont="1" applyFill="1" applyAlignment="1">
      <alignment horizontal="center" vertical="center"/>
    </xf>
    <xf numFmtId="0" fontId="7" fillId="10" borderId="0" xfId="0" applyFont="1" applyFill="1"/>
    <xf numFmtId="0" fontId="32" fillId="5" borderId="2" xfId="0" applyFont="1" applyFill="1" applyBorder="1" applyAlignment="1">
      <alignment horizontal="center" vertical="center"/>
    </xf>
    <xf numFmtId="44" fontId="32" fillId="5" borderId="2" xfId="1" applyFont="1" applyFill="1" applyBorder="1" applyAlignment="1">
      <alignment horizontal="center" vertical="center"/>
    </xf>
    <xf numFmtId="2" fontId="32" fillId="5" borderId="1" xfId="1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44" fontId="7" fillId="10" borderId="2" xfId="1" applyFont="1" applyFill="1" applyBorder="1" applyAlignment="1">
      <alignment horizontal="center" vertical="center"/>
    </xf>
    <xf numFmtId="44" fontId="7" fillId="10" borderId="1" xfId="1" applyFont="1" applyFill="1" applyBorder="1" applyAlignment="1">
      <alignment horizontal="center" vertical="center"/>
    </xf>
    <xf numFmtId="2" fontId="7" fillId="10" borderId="1" xfId="1" applyNumberFormat="1" applyFont="1" applyFill="1" applyBorder="1" applyAlignment="1">
      <alignment horizontal="center" vertical="center"/>
    </xf>
    <xf numFmtId="2" fontId="7" fillId="10" borderId="22" xfId="1" applyNumberFormat="1" applyFont="1" applyFill="1" applyBorder="1" applyAlignment="1">
      <alignment horizontal="center" vertical="center"/>
    </xf>
    <xf numFmtId="2" fontId="7" fillId="10" borderId="22" xfId="1" applyNumberFormat="1" applyFont="1" applyFill="1" applyBorder="1" applyAlignment="1">
      <alignment vertical="center" wrapText="1"/>
    </xf>
    <xf numFmtId="44" fontId="33" fillId="11" borderId="1" xfId="1" applyFont="1" applyFill="1" applyBorder="1" applyAlignment="1">
      <alignment horizontal="center" vertical="center"/>
    </xf>
    <xf numFmtId="2" fontId="33" fillId="11" borderId="2" xfId="0" applyNumberFormat="1" applyFont="1" applyFill="1" applyBorder="1" applyAlignment="1">
      <alignment vertical="center"/>
    </xf>
    <xf numFmtId="2" fontId="7" fillId="10" borderId="20" xfId="1" applyNumberFormat="1" applyFont="1" applyFill="1" applyBorder="1" applyAlignment="1">
      <alignment horizontal="center" vertical="center"/>
    </xf>
    <xf numFmtId="2" fontId="7" fillId="10" borderId="20" xfId="1" applyNumberFormat="1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/>
    </xf>
    <xf numFmtId="0" fontId="7" fillId="10" borderId="22" xfId="0" applyFont="1" applyFill="1" applyBorder="1"/>
    <xf numFmtId="2" fontId="32" fillId="5" borderId="2" xfId="1" applyNumberFormat="1" applyFont="1" applyFill="1" applyBorder="1" applyAlignment="1">
      <alignment horizontal="center" vertical="center"/>
    </xf>
    <xf numFmtId="44" fontId="7" fillId="10" borderId="2" xfId="1" applyFont="1" applyFill="1" applyBorder="1" applyAlignment="1">
      <alignment horizontal="center" vertical="center" wrapText="1"/>
    </xf>
    <xf numFmtId="44" fontId="35" fillId="10" borderId="2" xfId="5" applyNumberForma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2" fontId="7" fillId="10" borderId="0" xfId="1" applyNumberFormat="1" applyFont="1" applyFill="1" applyBorder="1" applyAlignment="1">
      <alignment horizontal="center" vertical="center"/>
    </xf>
    <xf numFmtId="2" fontId="7" fillId="10" borderId="0" xfId="1" applyNumberFormat="1" applyFont="1" applyFill="1" applyBorder="1" applyAlignment="1">
      <alignment vertical="center" wrapText="1"/>
    </xf>
    <xf numFmtId="44" fontId="7" fillId="10" borderId="0" xfId="1" applyFont="1" applyFill="1" applyBorder="1" applyAlignment="1">
      <alignment horizontal="center" vertical="center"/>
    </xf>
    <xf numFmtId="0" fontId="33" fillId="10" borderId="0" xfId="0" applyFont="1" applyFill="1" applyAlignment="1">
      <alignment horizontal="right" vertical="center"/>
    </xf>
    <xf numFmtId="2" fontId="33" fillId="10" borderId="0" xfId="0" applyNumberFormat="1" applyFont="1" applyFill="1" applyAlignment="1">
      <alignment vertical="center"/>
    </xf>
    <xf numFmtId="44" fontId="33" fillId="10" borderId="0" xfId="1" applyFont="1" applyFill="1" applyBorder="1" applyAlignment="1">
      <alignment horizontal="center" vertical="center"/>
    </xf>
    <xf numFmtId="43" fontId="7" fillId="10" borderId="0" xfId="0" applyNumberFormat="1" applyFont="1" applyFill="1"/>
    <xf numFmtId="0" fontId="7" fillId="6" borderId="0" xfId="0" applyFont="1" applyFill="1"/>
    <xf numFmtId="44" fontId="24" fillId="0" borderId="0" xfId="1" applyFont="1" applyFill="1" applyBorder="1" applyAlignment="1">
      <alignment vertical="center"/>
    </xf>
    <xf numFmtId="44" fontId="21" fillId="0" borderId="0" xfId="1" applyFont="1" applyFill="1" applyBorder="1" applyAlignment="1">
      <alignment horizontal="center" vertical="center"/>
    </xf>
    <xf numFmtId="44" fontId="20" fillId="0" borderId="0" xfId="1" applyFont="1" applyFill="1" applyBorder="1" applyAlignment="1">
      <alignment horizontal="left" vertical="center"/>
    </xf>
    <xf numFmtId="0" fontId="22" fillId="0" borderId="0" xfId="2" applyFont="1" applyFill="1" applyBorder="1" applyAlignment="1">
      <alignment vertical="center" wrapText="1"/>
    </xf>
    <xf numFmtId="0" fontId="22" fillId="0" borderId="12" xfId="2" applyFont="1" applyFill="1" applyBorder="1" applyAlignment="1">
      <alignment vertical="center" wrapText="1"/>
    </xf>
    <xf numFmtId="44" fontId="20" fillId="0" borderId="15" xfId="1" applyFont="1" applyFill="1" applyBorder="1" applyAlignment="1">
      <alignment horizontal="left" vertical="center"/>
    </xf>
    <xf numFmtId="2" fontId="21" fillId="12" borderId="0" xfId="0" applyNumberFormat="1" applyFont="1" applyFill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9" fontId="22" fillId="0" borderId="0" xfId="2" applyNumberFormat="1" applyFont="1" applyFill="1" applyBorder="1" applyAlignment="1">
      <alignment horizontal="center" vertical="center"/>
    </xf>
    <xf numFmtId="44" fontId="7" fillId="10" borderId="9" xfId="1" applyFont="1" applyFill="1" applyBorder="1" applyAlignment="1">
      <alignment horizontal="center" vertical="center"/>
    </xf>
    <xf numFmtId="44" fontId="33" fillId="11" borderId="9" xfId="1" applyFont="1" applyFill="1" applyBorder="1" applyAlignment="1">
      <alignment horizontal="center" vertical="center"/>
    </xf>
    <xf numFmtId="2" fontId="33" fillId="11" borderId="11" xfId="0" applyNumberFormat="1" applyFont="1" applyFill="1" applyBorder="1" applyAlignment="1">
      <alignment vertical="center"/>
    </xf>
    <xf numFmtId="44" fontId="33" fillId="11" borderId="27" xfId="1" applyFont="1" applyFill="1" applyBorder="1" applyAlignment="1">
      <alignment horizontal="center" vertical="center"/>
    </xf>
    <xf numFmtId="9" fontId="25" fillId="0" borderId="7" xfId="4" applyFont="1" applyFill="1" applyBorder="1" applyAlignment="1">
      <alignment horizontal="center" vertical="center"/>
    </xf>
    <xf numFmtId="44" fontId="7" fillId="10" borderId="0" xfId="1" applyFont="1" applyFill="1" applyBorder="1" applyAlignment="1">
      <alignment horizontal="center" vertical="center" wrapText="1"/>
    </xf>
    <xf numFmtId="2" fontId="33" fillId="13" borderId="2" xfId="0" applyNumberFormat="1" applyFont="1" applyFill="1" applyBorder="1" applyAlignment="1">
      <alignment vertical="center"/>
    </xf>
    <xf numFmtId="0" fontId="36" fillId="6" borderId="0" xfId="0" applyFont="1" applyFill="1"/>
    <xf numFmtId="2" fontId="7" fillId="10" borderId="2" xfId="0" applyNumberFormat="1" applyFont="1" applyFill="1" applyBorder="1" applyAlignment="1">
      <alignment horizontal="center" vertical="center"/>
    </xf>
    <xf numFmtId="44" fontId="33" fillId="5" borderId="1" xfId="1" applyFont="1" applyFill="1" applyBorder="1" applyAlignment="1">
      <alignment horizontal="center" vertical="center"/>
    </xf>
    <xf numFmtId="44" fontId="33" fillId="5" borderId="2" xfId="1" applyFont="1" applyFill="1" applyBorder="1" applyAlignment="1">
      <alignment horizontal="center" vertical="center"/>
    </xf>
    <xf numFmtId="0" fontId="36" fillId="10" borderId="0" xfId="0" applyFont="1" applyFill="1"/>
    <xf numFmtId="1" fontId="7" fillId="10" borderId="2" xfId="0" applyNumberFormat="1" applyFont="1" applyFill="1" applyBorder="1" applyAlignment="1">
      <alignment horizontal="center" vertical="center"/>
    </xf>
    <xf numFmtId="44" fontId="33" fillId="11" borderId="2" xfId="1" applyFont="1" applyFill="1" applyBorder="1" applyAlignment="1">
      <alignment horizontal="center" vertical="center"/>
    </xf>
    <xf numFmtId="44" fontId="33" fillId="11" borderId="11" xfId="1" applyFont="1" applyFill="1" applyBorder="1" applyAlignment="1">
      <alignment horizontal="center" vertical="center"/>
    </xf>
    <xf numFmtId="44" fontId="38" fillId="10" borderId="2" xfId="1" applyFont="1" applyFill="1" applyBorder="1" applyAlignment="1">
      <alignment horizontal="center" vertical="center"/>
    </xf>
    <xf numFmtId="44" fontId="39" fillId="7" borderId="2" xfId="0" applyNumberFormat="1" applyFont="1" applyFill="1" applyBorder="1" applyAlignment="1">
      <alignment vertical="center" wrapText="1"/>
    </xf>
    <xf numFmtId="44" fontId="38" fillId="7" borderId="2" xfId="1" applyFont="1" applyFill="1" applyBorder="1" applyAlignment="1">
      <alignment horizontal="center" vertical="center"/>
    </xf>
    <xf numFmtId="0" fontId="38" fillId="10" borderId="0" xfId="0" applyFont="1" applyFill="1"/>
    <xf numFmtId="0" fontId="38" fillId="10" borderId="2" xfId="0" applyFont="1" applyFill="1" applyBorder="1" applyAlignment="1">
      <alignment horizontal="center" vertical="center" wrapText="1"/>
    </xf>
    <xf numFmtId="0" fontId="38" fillId="10" borderId="2" xfId="0" applyFont="1" applyFill="1" applyBorder="1" applyAlignment="1">
      <alignment horizontal="center" vertical="center"/>
    </xf>
    <xf numFmtId="44" fontId="38" fillId="10" borderId="1" xfId="1" applyFont="1" applyFill="1" applyBorder="1" applyAlignment="1">
      <alignment horizontal="center" vertical="center"/>
    </xf>
    <xf numFmtId="44" fontId="39" fillId="11" borderId="1" xfId="1" applyFont="1" applyFill="1" applyBorder="1" applyAlignment="1">
      <alignment horizontal="center" vertical="center"/>
    </xf>
    <xf numFmtId="44" fontId="41" fillId="7" borderId="8" xfId="1" applyFont="1" applyFill="1" applyBorder="1" applyAlignment="1">
      <alignment horizontal="center" vertical="center"/>
    </xf>
    <xf numFmtId="44" fontId="38" fillId="10" borderId="9" xfId="1" applyFont="1" applyFill="1" applyBorder="1" applyAlignment="1">
      <alignment horizontal="center" vertical="center"/>
    </xf>
    <xf numFmtId="44" fontId="38" fillId="7" borderId="9" xfId="1" applyFont="1" applyFill="1" applyBorder="1" applyAlignment="1">
      <alignment horizontal="center" vertical="center"/>
    </xf>
    <xf numFmtId="0" fontId="39" fillId="11" borderId="24" xfId="0" applyFont="1" applyFill="1" applyBorder="1" applyAlignment="1">
      <alignment horizontal="right" vertical="center"/>
    </xf>
    <xf numFmtId="2" fontId="39" fillId="11" borderId="11" xfId="0" applyNumberFormat="1" applyFont="1" applyFill="1" applyBorder="1" applyAlignment="1">
      <alignment vertical="center"/>
    </xf>
    <xf numFmtId="44" fontId="39" fillId="11" borderId="24" xfId="1" applyFont="1" applyFill="1" applyBorder="1" applyAlignment="1">
      <alignment horizontal="center" vertical="center"/>
    </xf>
    <xf numFmtId="44" fontId="39" fillId="5" borderId="35" xfId="0" applyNumberFormat="1" applyFont="1" applyFill="1" applyBorder="1" applyAlignment="1">
      <alignment vertical="center" wrapText="1"/>
    </xf>
    <xf numFmtId="0" fontId="43" fillId="10" borderId="2" xfId="0" applyFont="1" applyFill="1" applyBorder="1" applyAlignment="1">
      <alignment horizontal="center" vertical="center"/>
    </xf>
    <xf numFmtId="0" fontId="0" fillId="11" borderId="0" xfId="0" applyFill="1"/>
    <xf numFmtId="0" fontId="7" fillId="11" borderId="0" xfId="0" applyFont="1" applyFill="1" applyAlignment="1">
      <alignment horizontal="center" vertical="center"/>
    </xf>
    <xf numFmtId="44" fontId="7" fillId="11" borderId="0" xfId="1" applyFont="1" applyFill="1" applyAlignment="1">
      <alignment horizontal="center" vertical="center"/>
    </xf>
    <xf numFmtId="2" fontId="7" fillId="11" borderId="0" xfId="1" applyNumberFormat="1" applyFont="1" applyFill="1" applyAlignment="1">
      <alignment horizontal="center" vertical="center"/>
    </xf>
    <xf numFmtId="44" fontId="33" fillId="7" borderId="27" xfId="1" applyFont="1" applyFill="1" applyBorder="1" applyAlignment="1">
      <alignment horizontal="center" vertical="center"/>
    </xf>
    <xf numFmtId="44" fontId="22" fillId="0" borderId="6" xfId="2" applyNumberFormat="1" applyFont="1" applyFill="1" applyBorder="1" applyAlignment="1">
      <alignment horizontal="right" vertical="center" wrapText="1"/>
    </xf>
    <xf numFmtId="0" fontId="16" fillId="0" borderId="0" xfId="2" applyFont="1" applyFill="1" applyBorder="1" applyAlignment="1">
      <alignment horizontal="left" vertical="center" wrapText="1"/>
    </xf>
    <xf numFmtId="0" fontId="16" fillId="0" borderId="0" xfId="2" applyFont="1" applyFill="1" applyBorder="1" applyAlignment="1">
      <alignment horizontal="center" vertical="center" wrapText="1"/>
    </xf>
    <xf numFmtId="44" fontId="30" fillId="0" borderId="0" xfId="1" applyFont="1" applyFill="1" applyBorder="1" applyAlignment="1">
      <alignment horizontal="center" vertical="center"/>
    </xf>
    <xf numFmtId="44" fontId="30" fillId="0" borderId="0" xfId="1" applyFont="1" applyFill="1" applyBorder="1" applyAlignment="1">
      <alignment vertical="center"/>
    </xf>
    <xf numFmtId="2" fontId="25" fillId="0" borderId="0" xfId="1" applyNumberFormat="1" applyFont="1" applyFill="1" applyBorder="1" applyAlignment="1">
      <alignment horizontal="center" vertical="center"/>
    </xf>
    <xf numFmtId="44" fontId="13" fillId="4" borderId="0" xfId="1" applyFont="1" applyFill="1" applyBorder="1" applyAlignment="1">
      <alignment horizontal="center" vertical="center"/>
    </xf>
    <xf numFmtId="9" fontId="13" fillId="4" borderId="0" xfId="4" applyFont="1" applyFill="1" applyBorder="1" applyAlignment="1">
      <alignment horizontal="center" vertical="center"/>
    </xf>
    <xf numFmtId="0" fontId="22" fillId="0" borderId="6" xfId="2" applyFont="1" applyFill="1" applyBorder="1" applyAlignment="1">
      <alignment horizontal="right" vertical="center" wrapText="1"/>
    </xf>
    <xf numFmtId="0" fontId="22" fillId="0" borderId="0" xfId="2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0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44" fontId="8" fillId="4" borderId="0" xfId="1" applyFont="1" applyFill="1" applyBorder="1" applyAlignment="1">
      <alignment horizontal="center" vertical="center"/>
    </xf>
    <xf numFmtId="0" fontId="11" fillId="6" borderId="0" xfId="2" applyFont="1" applyFill="1" applyBorder="1" applyAlignment="1">
      <alignment horizontal="center" vertical="center"/>
    </xf>
    <xf numFmtId="44" fontId="30" fillId="6" borderId="0" xfId="1" applyFont="1" applyFill="1" applyBorder="1" applyAlignment="1">
      <alignment horizontal="center" vertical="center" wrapText="1"/>
    </xf>
    <xf numFmtId="44" fontId="11" fillId="6" borderId="0" xfId="1" applyFont="1" applyFill="1" applyBorder="1" applyAlignment="1">
      <alignment horizontal="center" vertical="center" wrapText="1"/>
    </xf>
    <xf numFmtId="0" fontId="12" fillId="5" borderId="0" xfId="2" applyFont="1" applyFill="1" applyBorder="1" applyAlignment="1">
      <alignment horizontal="center" vertical="center"/>
    </xf>
    <xf numFmtId="0" fontId="13" fillId="5" borderId="0" xfId="2" applyFont="1" applyFill="1" applyBorder="1" applyAlignment="1">
      <alignment horizontal="center" vertical="center"/>
    </xf>
    <xf numFmtId="44" fontId="17" fillId="5" borderId="0" xfId="1" applyFont="1" applyFill="1" applyBorder="1" applyAlignment="1">
      <alignment horizontal="center" vertical="center" wrapText="1"/>
    </xf>
    <xf numFmtId="44" fontId="11" fillId="5" borderId="0" xfId="1" applyFont="1" applyFill="1" applyBorder="1" applyAlignment="1">
      <alignment horizontal="center" vertical="center" wrapText="1"/>
    </xf>
    <xf numFmtId="44" fontId="13" fillId="5" borderId="0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center" wrapText="1"/>
    </xf>
    <xf numFmtId="0" fontId="14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44" fontId="30" fillId="0" borderId="0" xfId="1" applyFont="1" applyFill="1" applyBorder="1" applyAlignment="1" applyProtection="1">
      <alignment horizontal="center" vertical="center"/>
    </xf>
    <xf numFmtId="0" fontId="13" fillId="5" borderId="0" xfId="2" applyFont="1" applyFill="1" applyBorder="1" applyAlignment="1">
      <alignment vertical="center"/>
    </xf>
    <xf numFmtId="0" fontId="18" fillId="5" borderId="0" xfId="2" applyFont="1" applyFill="1" applyBorder="1" applyAlignment="1">
      <alignment vertical="center"/>
    </xf>
    <xf numFmtId="44" fontId="11" fillId="5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horizontal="justify" vertical="center" wrapText="1"/>
    </xf>
    <xf numFmtId="0" fontId="23" fillId="0" borderId="0" xfId="2" applyFont="1" applyFill="1" applyBorder="1" applyAlignment="1">
      <alignment horizontal="center" vertical="center"/>
    </xf>
    <xf numFmtId="44" fontId="21" fillId="0" borderId="4" xfId="1" applyFont="1" applyFill="1" applyBorder="1" applyAlignment="1">
      <alignment horizontal="center" vertical="center"/>
    </xf>
    <xf numFmtId="44" fontId="21" fillId="0" borderId="5" xfId="1" applyFont="1" applyFill="1" applyBorder="1" applyAlignment="1">
      <alignment horizontal="center" vertical="center"/>
    </xf>
    <xf numFmtId="44" fontId="21" fillId="10" borderId="28" xfId="1" applyFont="1" applyFill="1" applyBorder="1" applyAlignment="1">
      <alignment horizontal="center" vertical="center"/>
    </xf>
    <xf numFmtId="9" fontId="12" fillId="10" borderId="16" xfId="4" applyFont="1" applyFill="1" applyBorder="1" applyAlignment="1">
      <alignment horizontal="center" vertical="center"/>
    </xf>
    <xf numFmtId="9" fontId="12" fillId="10" borderId="4" xfId="4" applyFont="1" applyFill="1" applyBorder="1" applyAlignment="1">
      <alignment horizontal="center" vertical="center"/>
    </xf>
    <xf numFmtId="44" fontId="12" fillId="10" borderId="4" xfId="1" applyFont="1" applyFill="1" applyBorder="1" applyAlignment="1">
      <alignment horizontal="center" vertical="center"/>
    </xf>
    <xf numFmtId="2" fontId="25" fillId="10" borderId="5" xfId="1" applyNumberFormat="1" applyFont="1" applyFill="1" applyBorder="1" applyAlignment="1">
      <alignment horizontal="center" vertical="center"/>
    </xf>
    <xf numFmtId="44" fontId="20" fillId="10" borderId="14" xfId="1" applyFont="1" applyFill="1" applyBorder="1" applyAlignment="1">
      <alignment horizontal="left" vertical="center"/>
    </xf>
    <xf numFmtId="9" fontId="20" fillId="10" borderId="12" xfId="4" applyFont="1" applyFill="1" applyBorder="1" applyAlignment="1">
      <alignment horizontal="center" vertical="center"/>
    </xf>
    <xf numFmtId="44" fontId="8" fillId="10" borderId="12" xfId="1" applyFont="1" applyFill="1" applyBorder="1" applyAlignment="1">
      <alignment horizontal="center" vertical="center"/>
    </xf>
    <xf numFmtId="2" fontId="26" fillId="10" borderId="15" xfId="1" applyNumberFormat="1" applyFont="1" applyFill="1" applyBorder="1" applyAlignment="1">
      <alignment horizontal="center" vertical="center"/>
    </xf>
    <xf numFmtId="44" fontId="22" fillId="0" borderId="3" xfId="2" applyNumberFormat="1" applyFont="1" applyFill="1" applyBorder="1" applyAlignment="1">
      <alignment horizontal="right" vertical="center" wrapText="1"/>
    </xf>
    <xf numFmtId="0" fontId="22" fillId="0" borderId="4" xfId="2" applyFont="1" applyFill="1" applyBorder="1" applyAlignment="1">
      <alignment horizontal="center" vertical="center"/>
    </xf>
    <xf numFmtId="9" fontId="22" fillId="0" borderId="4" xfId="2" applyNumberFormat="1" applyFont="1" applyFill="1" applyBorder="1" applyAlignment="1">
      <alignment horizontal="center" vertical="center"/>
    </xf>
    <xf numFmtId="9" fontId="25" fillId="0" borderId="5" xfId="4" applyFont="1" applyFill="1" applyBorder="1" applyAlignment="1">
      <alignment horizontal="center" vertical="center"/>
    </xf>
    <xf numFmtId="0" fontId="22" fillId="0" borderId="14" xfId="2" applyFont="1" applyFill="1" applyBorder="1" applyAlignment="1">
      <alignment horizontal="right" vertical="center" wrapText="1"/>
    </xf>
    <xf numFmtId="44" fontId="22" fillId="0" borderId="0" xfId="2" applyNumberFormat="1" applyFont="1" applyFill="1" applyBorder="1" applyAlignment="1">
      <alignment vertical="center" wrapText="1"/>
    </xf>
    <xf numFmtId="164" fontId="22" fillId="0" borderId="0" xfId="1" applyNumberFormat="1" applyFont="1" applyFill="1" applyBorder="1" applyAlignment="1">
      <alignment horizontal="left" vertical="center" wrapText="1"/>
    </xf>
    <xf numFmtId="9" fontId="22" fillId="0" borderId="0" xfId="4" applyFont="1" applyFill="1" applyBorder="1" applyAlignment="1">
      <alignment vertical="center" wrapText="1"/>
    </xf>
    <xf numFmtId="9" fontId="22" fillId="0" borderId="12" xfId="4" applyFont="1" applyFill="1" applyBorder="1" applyAlignment="1">
      <alignment vertical="center" wrapText="1"/>
    </xf>
    <xf numFmtId="44" fontId="22" fillId="0" borderId="12" xfId="2" applyNumberFormat="1" applyFont="1" applyFill="1" applyBorder="1" applyAlignment="1">
      <alignment vertical="center" wrapText="1"/>
    </xf>
    <xf numFmtId="44" fontId="31" fillId="5" borderId="0" xfId="1" applyFont="1" applyFill="1" applyBorder="1" applyAlignment="1">
      <alignment horizontal="center" vertical="center" wrapText="1"/>
    </xf>
    <xf numFmtId="2" fontId="13" fillId="5" borderId="0" xfId="1" applyNumberFormat="1" applyFont="1" applyFill="1" applyBorder="1" applyAlignment="1">
      <alignment horizontal="center" vertical="center" wrapText="1"/>
    </xf>
    <xf numFmtId="44" fontId="13" fillId="7" borderId="0" xfId="1" applyFont="1" applyFill="1" applyBorder="1" applyAlignment="1">
      <alignment horizontal="center" vertical="center"/>
    </xf>
    <xf numFmtId="44" fontId="31" fillId="5" borderId="0" xfId="2" applyNumberFormat="1" applyFont="1" applyFill="1" applyBorder="1" applyAlignment="1">
      <alignment vertical="center"/>
    </xf>
    <xf numFmtId="0" fontId="22" fillId="0" borderId="3" xfId="2" applyFont="1" applyFill="1" applyBorder="1" applyAlignment="1">
      <alignment horizontal="center" vertical="center"/>
    </xf>
    <xf numFmtId="0" fontId="22" fillId="0" borderId="6" xfId="2" applyFont="1" applyFill="1" applyBorder="1" applyAlignment="1">
      <alignment horizontal="center" vertical="center"/>
    </xf>
    <xf numFmtId="0" fontId="22" fillId="0" borderId="14" xfId="2" applyFont="1" applyFill="1" applyBorder="1" applyAlignment="1">
      <alignment horizontal="center" vertical="center"/>
    </xf>
    <xf numFmtId="44" fontId="30" fillId="6" borderId="6" xfId="1" applyFont="1" applyFill="1" applyBorder="1" applyAlignment="1">
      <alignment horizontal="center" vertical="center" wrapText="1"/>
    </xf>
    <xf numFmtId="44" fontId="11" fillId="6" borderId="7" xfId="1" applyFont="1" applyFill="1" applyBorder="1" applyAlignment="1">
      <alignment horizontal="center" vertical="center" wrapText="1"/>
    </xf>
    <xf numFmtId="2" fontId="27" fillId="0" borderId="0" xfId="0" applyNumberFormat="1" applyFont="1" applyAlignment="1">
      <alignment horizontal="center" vertical="center"/>
    </xf>
    <xf numFmtId="44" fontId="6" fillId="4" borderId="0" xfId="1" applyFont="1" applyFill="1" applyBorder="1" applyAlignment="1">
      <alignment horizontal="right"/>
    </xf>
    <xf numFmtId="44" fontId="5" fillId="13" borderId="0" xfId="1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44" fontId="11" fillId="13" borderId="0" xfId="1" applyFont="1" applyFill="1" applyBorder="1" applyAlignment="1">
      <alignment horizontal="center" vertical="center" wrapText="1"/>
    </xf>
    <xf numFmtId="44" fontId="12" fillId="13" borderId="0" xfId="1" applyFont="1" applyFill="1" applyBorder="1" applyAlignment="1">
      <alignment horizontal="center" vertical="center"/>
    </xf>
    <xf numFmtId="44" fontId="11" fillId="13" borderId="0" xfId="2" applyNumberFormat="1" applyFont="1" applyFill="1" applyBorder="1" applyAlignment="1">
      <alignment vertical="center"/>
    </xf>
    <xf numFmtId="44" fontId="24" fillId="13" borderId="0" xfId="1" applyFont="1" applyFill="1" applyBorder="1" applyAlignment="1">
      <alignment vertical="center"/>
    </xf>
    <xf numFmtId="0" fontId="0" fillId="10" borderId="0" xfId="0" applyFill="1"/>
    <xf numFmtId="0" fontId="32" fillId="13" borderId="1" xfId="0" applyFont="1" applyFill="1" applyBorder="1" applyAlignment="1">
      <alignment horizontal="center" vertical="center"/>
    </xf>
    <xf numFmtId="44" fontId="7" fillId="10" borderId="2" xfId="1" applyFont="1" applyFill="1" applyBorder="1" applyAlignment="1">
      <alignment horizontal="left" vertical="center"/>
    </xf>
    <xf numFmtId="0" fontId="0" fillId="10" borderId="0" xfId="0" applyFill="1" applyAlignment="1">
      <alignment horizontal="left"/>
    </xf>
    <xf numFmtId="44" fontId="33" fillId="7" borderId="21" xfId="0" applyNumberFormat="1" applyFont="1" applyFill="1" applyBorder="1" applyAlignment="1">
      <alignment vertical="center" wrapText="1"/>
    </xf>
    <xf numFmtId="2" fontId="7" fillId="7" borderId="1" xfId="1" applyNumberFormat="1" applyFont="1" applyFill="1" applyBorder="1" applyAlignment="1">
      <alignment horizontal="center" vertical="center"/>
    </xf>
    <xf numFmtId="2" fontId="7" fillId="7" borderId="22" xfId="1" applyNumberFormat="1" applyFont="1" applyFill="1" applyBorder="1" applyAlignment="1">
      <alignment horizontal="center" vertical="center"/>
    </xf>
    <xf numFmtId="2" fontId="7" fillId="7" borderId="22" xfId="1" applyNumberFormat="1" applyFont="1" applyFill="1" applyBorder="1" applyAlignment="1">
      <alignment horizontal="center" vertical="center" wrapText="1"/>
    </xf>
    <xf numFmtId="44" fontId="6" fillId="13" borderId="0" xfId="1" applyFont="1" applyFill="1" applyBorder="1" applyAlignment="1">
      <alignment horizontal="center"/>
    </xf>
    <xf numFmtId="44" fontId="6" fillId="13" borderId="0" xfId="1" applyFont="1" applyFill="1" applyBorder="1" applyAlignment="1">
      <alignment horizontal="right"/>
    </xf>
    <xf numFmtId="44" fontId="13" fillId="13" borderId="0" xfId="1" applyFont="1" applyFill="1" applyBorder="1" applyAlignment="1">
      <alignment horizontal="center" vertical="center" wrapText="1"/>
    </xf>
    <xf numFmtId="0" fontId="13" fillId="13" borderId="0" xfId="2" applyFont="1" applyFill="1" applyBorder="1" applyAlignment="1">
      <alignment vertical="center"/>
    </xf>
    <xf numFmtId="164" fontId="22" fillId="0" borderId="4" xfId="1" applyNumberFormat="1" applyFont="1" applyFill="1" applyBorder="1" applyAlignment="1">
      <alignment horizontal="left" vertical="center" wrapText="1"/>
    </xf>
    <xf numFmtId="0" fontId="22" fillId="0" borderId="3" xfId="2" applyFont="1" applyFill="1" applyBorder="1" applyAlignment="1">
      <alignment horizontal="right" vertical="center" wrapText="1"/>
    </xf>
    <xf numFmtId="9" fontId="22" fillId="0" borderId="4" xfId="4" applyFont="1" applyFill="1" applyBorder="1" applyAlignment="1">
      <alignment vertical="center" wrapText="1"/>
    </xf>
    <xf numFmtId="0" fontId="22" fillId="0" borderId="4" xfId="2" applyFont="1" applyFill="1" applyBorder="1" applyAlignment="1">
      <alignment vertical="center" wrapText="1"/>
    </xf>
    <xf numFmtId="44" fontId="22" fillId="0" borderId="4" xfId="2" applyNumberFormat="1" applyFont="1" applyFill="1" applyBorder="1" applyAlignment="1">
      <alignment vertical="center" wrapText="1"/>
    </xf>
    <xf numFmtId="44" fontId="12" fillId="4" borderId="0" xfId="1" applyFont="1" applyFill="1" applyBorder="1" applyAlignment="1">
      <alignment horizontal="center" vertical="center"/>
    </xf>
    <xf numFmtId="2" fontId="25" fillId="4" borderId="0" xfId="1" applyNumberFormat="1" applyFont="1" applyFill="1" applyBorder="1" applyAlignment="1">
      <alignment horizontal="center" vertical="center"/>
    </xf>
    <xf numFmtId="0" fontId="7" fillId="13" borderId="0" xfId="0" applyFont="1" applyFill="1"/>
    <xf numFmtId="44" fontId="35" fillId="10" borderId="2" xfId="5" applyNumberFormat="1" applyFill="1" applyBorder="1" applyAlignment="1">
      <alignment horizontal="left" vertical="center"/>
    </xf>
    <xf numFmtId="44" fontId="33" fillId="10" borderId="1" xfId="1" applyFont="1" applyFill="1" applyBorder="1" applyAlignment="1">
      <alignment horizontal="center" vertical="center"/>
    </xf>
    <xf numFmtId="0" fontId="12" fillId="5" borderId="0" xfId="2" applyNumberFormat="1" applyFont="1" applyFill="1" applyBorder="1" applyAlignment="1">
      <alignment horizontal="center" vertical="center"/>
    </xf>
    <xf numFmtId="44" fontId="33" fillId="10" borderId="47" xfId="1" applyFont="1" applyFill="1" applyBorder="1" applyAlignment="1">
      <alignment horizontal="center" vertical="center"/>
    </xf>
    <xf numFmtId="44" fontId="13" fillId="5" borderId="0" xfId="2" applyNumberFormat="1" applyFont="1" applyFill="1" applyBorder="1" applyAlignment="1">
      <alignment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44" fontId="7" fillId="9" borderId="2" xfId="1" applyFont="1" applyFill="1" applyBorder="1" applyAlignment="1">
      <alignment horizontal="center" vertical="center"/>
    </xf>
    <xf numFmtId="44" fontId="7" fillId="9" borderId="9" xfId="1" applyFont="1" applyFill="1" applyBorder="1" applyAlignment="1">
      <alignment horizontal="center" vertical="center"/>
    </xf>
    <xf numFmtId="0" fontId="0" fillId="10" borderId="9" xfId="0" applyFill="1" applyBorder="1"/>
    <xf numFmtId="0" fontId="0" fillId="10" borderId="27" xfId="0" applyFill="1" applyBorder="1"/>
    <xf numFmtId="44" fontId="0" fillId="10" borderId="8" xfId="1" applyFont="1" applyFill="1" applyBorder="1"/>
    <xf numFmtId="44" fontId="0" fillId="10" borderId="10" xfId="1" applyFont="1" applyFill="1" applyBorder="1"/>
    <xf numFmtId="2" fontId="0" fillId="10" borderId="2" xfId="0" applyNumberFormat="1" applyFill="1" applyBorder="1"/>
    <xf numFmtId="2" fontId="0" fillId="10" borderId="11" xfId="0" applyNumberFormat="1" applyFill="1" applyBorder="1"/>
    <xf numFmtId="44" fontId="0" fillId="10" borderId="2" xfId="1" applyFont="1" applyFill="1" applyBorder="1"/>
    <xf numFmtId="44" fontId="0" fillId="10" borderId="11" xfId="1" applyFont="1" applyFill="1" applyBorder="1"/>
    <xf numFmtId="2" fontId="29" fillId="3" borderId="2" xfId="3" applyNumberFormat="1" applyFont="1" applyFill="1" applyBorder="1" applyAlignment="1">
      <alignment horizontal="center" vertical="center"/>
    </xf>
    <xf numFmtId="0" fontId="19" fillId="11" borderId="2" xfId="0" applyFont="1" applyFill="1" applyBorder="1"/>
    <xf numFmtId="165" fontId="19" fillId="11" borderId="2" xfId="0" applyNumberFormat="1" applyFont="1" applyFill="1" applyBorder="1"/>
    <xf numFmtId="2" fontId="29" fillId="3" borderId="8" xfId="3" applyNumberFormat="1" applyFont="1" applyFill="1" applyBorder="1" applyAlignment="1">
      <alignment horizontal="center" vertical="center"/>
    </xf>
    <xf numFmtId="2" fontId="29" fillId="3" borderId="9" xfId="3" applyNumberFormat="1" applyFont="1" applyFill="1" applyBorder="1" applyAlignment="1">
      <alignment horizontal="center" vertical="center"/>
    </xf>
    <xf numFmtId="0" fontId="21" fillId="0" borderId="8" xfId="0" applyFont="1" applyBorder="1"/>
    <xf numFmtId="166" fontId="19" fillId="0" borderId="9" xfId="0" applyNumberFormat="1" applyFont="1" applyBorder="1"/>
    <xf numFmtId="0" fontId="21" fillId="0" borderId="50" xfId="0" applyFont="1" applyBorder="1"/>
    <xf numFmtId="0" fontId="19" fillId="11" borderId="13" xfId="0" applyFont="1" applyFill="1" applyBorder="1"/>
    <xf numFmtId="165" fontId="19" fillId="11" borderId="13" xfId="0" applyNumberFormat="1" applyFont="1" applyFill="1" applyBorder="1"/>
    <xf numFmtId="166" fontId="19" fillId="0" borderId="36" xfId="0" applyNumberFormat="1" applyFont="1" applyBorder="1"/>
    <xf numFmtId="165" fontId="21" fillId="11" borderId="48" xfId="0" applyNumberFormat="1" applyFont="1" applyFill="1" applyBorder="1"/>
    <xf numFmtId="166" fontId="21" fillId="11" borderId="47" xfId="0" applyNumberFormat="1" applyFont="1" applyFill="1" applyBorder="1"/>
    <xf numFmtId="44" fontId="21" fillId="8" borderId="0" xfId="1" applyFont="1" applyFill="1" applyAlignment="1">
      <alignment horizontal="center" vertical="center"/>
    </xf>
    <xf numFmtId="44" fontId="21" fillId="7" borderId="0" xfId="1" applyFont="1" applyFill="1" applyAlignment="1">
      <alignment horizontal="center" vertical="center"/>
    </xf>
    <xf numFmtId="167" fontId="0" fillId="10" borderId="2" xfId="0" applyNumberFormat="1" applyFill="1" applyBorder="1"/>
    <xf numFmtId="167" fontId="44" fillId="5" borderId="8" xfId="0" applyNumberFormat="1" applyFont="1" applyFill="1" applyBorder="1" applyAlignment="1">
      <alignment horizontal="center"/>
    </xf>
    <xf numFmtId="44" fontId="44" fillId="5" borderId="8" xfId="1" applyFont="1" applyFill="1" applyBorder="1" applyAlignment="1">
      <alignment horizontal="center"/>
    </xf>
    <xf numFmtId="44" fontId="44" fillId="5" borderId="50" xfId="1" applyFont="1" applyFill="1" applyBorder="1" applyAlignment="1">
      <alignment horizontal="center"/>
    </xf>
    <xf numFmtId="0" fontId="44" fillId="5" borderId="49" xfId="0" applyFont="1" applyFill="1" applyBorder="1" applyAlignment="1">
      <alignment horizontal="center"/>
    </xf>
    <xf numFmtId="167" fontId="0" fillId="10" borderId="48" xfId="0" applyNumberFormat="1" applyFill="1" applyBorder="1"/>
    <xf numFmtId="167" fontId="0" fillId="10" borderId="9" xfId="0" applyNumberFormat="1" applyFill="1" applyBorder="1"/>
    <xf numFmtId="2" fontId="0" fillId="10" borderId="48" xfId="0" applyNumberFormat="1" applyFill="1" applyBorder="1"/>
    <xf numFmtId="167" fontId="0" fillId="10" borderId="47" xfId="0" applyNumberFormat="1" applyFill="1" applyBorder="1"/>
    <xf numFmtId="168" fontId="0" fillId="10" borderId="13" xfId="0" applyNumberFormat="1" applyFill="1" applyBorder="1"/>
    <xf numFmtId="0" fontId="0" fillId="10" borderId="17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167" fontId="0" fillId="10" borderId="10" xfId="0" applyNumberFormat="1" applyFill="1" applyBorder="1"/>
    <xf numFmtId="167" fontId="0" fillId="10" borderId="27" xfId="0" applyNumberFormat="1" applyFill="1" applyBorder="1"/>
    <xf numFmtId="0" fontId="12" fillId="4" borderId="0" xfId="2" applyFont="1" applyFill="1" applyBorder="1" applyAlignment="1">
      <alignment horizontal="center" vertical="center"/>
    </xf>
    <xf numFmtId="0" fontId="13" fillId="4" borderId="0" xfId="2" applyFont="1" applyFill="1" applyBorder="1" applyAlignment="1">
      <alignment horizontal="center" vertical="center"/>
    </xf>
    <xf numFmtId="0" fontId="13" fillId="4" borderId="0" xfId="2" applyFont="1" applyFill="1" applyBorder="1" applyAlignment="1">
      <alignment vertical="center"/>
    </xf>
    <xf numFmtId="0" fontId="18" fillId="4" borderId="0" xfId="2" applyFont="1" applyFill="1" applyBorder="1" applyAlignment="1">
      <alignment vertical="center"/>
    </xf>
    <xf numFmtId="44" fontId="11" fillId="4" borderId="0" xfId="2" applyNumberFormat="1" applyFont="1" applyFill="1" applyBorder="1" applyAlignment="1">
      <alignment vertical="center"/>
    </xf>
    <xf numFmtId="44" fontId="31" fillId="4" borderId="0" xfId="2" applyNumberFormat="1" applyFont="1" applyFill="1" applyBorder="1" applyAlignment="1">
      <alignment vertical="center"/>
    </xf>
    <xf numFmtId="2" fontId="13" fillId="4" borderId="0" xfId="1" applyNumberFormat="1" applyFont="1" applyFill="1" applyBorder="1" applyAlignment="1">
      <alignment horizontal="center" vertical="center" wrapText="1"/>
    </xf>
    <xf numFmtId="2" fontId="15" fillId="4" borderId="0" xfId="0" applyNumberFormat="1" applyFont="1" applyFill="1" applyAlignment="1">
      <alignment horizontal="center" vertical="center"/>
    </xf>
    <xf numFmtId="0" fontId="16" fillId="4" borderId="0" xfId="2" applyFont="1" applyFill="1" applyBorder="1" applyAlignment="1">
      <alignment horizontal="center" vertical="center"/>
    </xf>
    <xf numFmtId="0" fontId="16" fillId="4" borderId="0" xfId="2" applyFont="1" applyFill="1" applyBorder="1" applyAlignment="1">
      <alignment horizontal="justify" vertical="center" wrapText="1"/>
    </xf>
    <xf numFmtId="0" fontId="16" fillId="4" borderId="0" xfId="2" applyFont="1" applyFill="1" applyBorder="1" applyAlignment="1">
      <alignment horizontal="center" vertical="center" wrapText="1"/>
    </xf>
    <xf numFmtId="2" fontId="16" fillId="4" borderId="0" xfId="2" applyNumberFormat="1" applyFont="1" applyFill="1" applyBorder="1" applyAlignment="1">
      <alignment horizontal="center" vertical="center"/>
    </xf>
    <xf numFmtId="44" fontId="30" fillId="4" borderId="0" xfId="1" applyFont="1" applyFill="1" applyBorder="1" applyAlignment="1">
      <alignment horizontal="center" vertical="center"/>
    </xf>
    <xf numFmtId="44" fontId="30" fillId="4" borderId="0" xfId="1" applyFont="1" applyFill="1" applyBorder="1" applyAlignment="1">
      <alignment vertical="center"/>
    </xf>
    <xf numFmtId="44" fontId="24" fillId="4" borderId="0" xfId="1" applyFont="1" applyFill="1" applyBorder="1" applyAlignment="1">
      <alignment vertical="center"/>
    </xf>
    <xf numFmtId="0" fontId="7" fillId="4" borderId="0" xfId="0" applyFont="1" applyFill="1"/>
    <xf numFmtId="0" fontId="16" fillId="4" borderId="0" xfId="2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justify" vertical="center" wrapText="1"/>
    </xf>
    <xf numFmtId="0" fontId="14" fillId="4" borderId="0" xfId="0" applyFont="1" applyFill="1" applyAlignment="1">
      <alignment horizontal="center" vertical="center" wrapText="1"/>
    </xf>
    <xf numFmtId="2" fontId="14" fillId="4" borderId="0" xfId="0" applyNumberFormat="1" applyFont="1" applyFill="1" applyAlignment="1">
      <alignment horizontal="center" vertical="center"/>
    </xf>
    <xf numFmtId="0" fontId="21" fillId="0" borderId="44" xfId="0" applyFont="1" applyBorder="1" applyAlignment="1">
      <alignment horizontal="right"/>
    </xf>
    <xf numFmtId="0" fontId="21" fillId="0" borderId="45" xfId="0" applyFont="1" applyBorder="1" applyAlignment="1">
      <alignment horizontal="right"/>
    </xf>
    <xf numFmtId="0" fontId="21" fillId="0" borderId="46" xfId="0" applyFont="1" applyBorder="1" applyAlignment="1">
      <alignment horizontal="right"/>
    </xf>
    <xf numFmtId="0" fontId="12" fillId="5" borderId="17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center"/>
    </xf>
    <xf numFmtId="0" fontId="12" fillId="5" borderId="19" xfId="0" applyFont="1" applyFill="1" applyBorder="1" applyAlignment="1">
      <alignment horizontal="center"/>
    </xf>
    <xf numFmtId="0" fontId="22" fillId="0" borderId="0" xfId="2" applyFont="1" applyFill="1" applyBorder="1" applyAlignment="1">
      <alignment horizontal="left" vertical="center" wrapText="1"/>
    </xf>
    <xf numFmtId="0" fontId="22" fillId="0" borderId="7" xfId="2" applyFont="1" applyFill="1" applyBorder="1" applyAlignment="1">
      <alignment horizontal="left" vertical="center" wrapText="1"/>
    </xf>
    <xf numFmtId="0" fontId="22" fillId="0" borderId="4" xfId="2" applyFont="1" applyFill="1" applyBorder="1" applyAlignment="1">
      <alignment horizontal="center" vertical="center" wrapText="1"/>
    </xf>
    <xf numFmtId="0" fontId="22" fillId="0" borderId="5" xfId="2" applyFont="1" applyFill="1" applyBorder="1" applyAlignment="1">
      <alignment horizontal="center" vertical="center" wrapText="1"/>
    </xf>
    <xf numFmtId="44" fontId="5" fillId="4" borderId="0" xfId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4" fontId="12" fillId="0" borderId="3" xfId="1" applyFont="1" applyFill="1" applyBorder="1" applyAlignment="1">
      <alignment horizontal="center" vertical="center"/>
    </xf>
    <xf numFmtId="44" fontId="12" fillId="0" borderId="4" xfId="1" applyFont="1" applyFill="1" applyBorder="1" applyAlignment="1">
      <alignment horizontal="center" vertical="center"/>
    </xf>
    <xf numFmtId="44" fontId="12" fillId="0" borderId="5" xfId="1" applyFont="1" applyFill="1" applyBorder="1" applyAlignment="1">
      <alignment horizontal="center" vertical="center"/>
    </xf>
    <xf numFmtId="0" fontId="22" fillId="0" borderId="14" xfId="2" applyFont="1" applyFill="1" applyBorder="1" applyAlignment="1">
      <alignment horizontal="right" vertical="center" wrapText="1"/>
    </xf>
    <xf numFmtId="0" fontId="22" fillId="0" borderId="12" xfId="2" applyFont="1" applyFill="1" applyBorder="1" applyAlignment="1">
      <alignment horizontal="right" vertical="center" wrapText="1"/>
    </xf>
    <xf numFmtId="0" fontId="10" fillId="0" borderId="3" xfId="0" applyFont="1" applyBorder="1" applyAlignment="1">
      <alignment horizontal="right" vertical="center" indent="1"/>
    </xf>
    <xf numFmtId="0" fontId="10" fillId="0" borderId="4" xfId="0" applyFont="1" applyBorder="1" applyAlignment="1">
      <alignment horizontal="right" vertical="center" indent="1"/>
    </xf>
    <xf numFmtId="0" fontId="10" fillId="0" borderId="14" xfId="0" applyFont="1" applyBorder="1" applyAlignment="1">
      <alignment horizontal="right" vertical="center" indent="1"/>
    </xf>
    <xf numFmtId="0" fontId="10" fillId="0" borderId="12" xfId="0" applyFont="1" applyBorder="1" applyAlignment="1">
      <alignment horizontal="right" vertical="center" indent="1"/>
    </xf>
    <xf numFmtId="44" fontId="13" fillId="4" borderId="0" xfId="2" applyNumberFormat="1" applyFont="1" applyFill="1" applyBorder="1" applyAlignment="1">
      <alignment horizontal="center" vertical="center"/>
    </xf>
    <xf numFmtId="44" fontId="13" fillId="5" borderId="0" xfId="2" applyNumberFormat="1" applyFont="1" applyFill="1" applyBorder="1" applyAlignment="1">
      <alignment horizontal="center" vertical="center"/>
    </xf>
    <xf numFmtId="9" fontId="13" fillId="7" borderId="0" xfId="4" applyFont="1" applyFill="1" applyBorder="1" applyAlignment="1">
      <alignment horizontal="center" vertical="center"/>
    </xf>
    <xf numFmtId="9" fontId="13" fillId="4" borderId="0" xfId="4" applyFont="1" applyFill="1" applyBorder="1" applyAlignment="1">
      <alignment horizontal="center" vertical="center"/>
    </xf>
    <xf numFmtId="0" fontId="22" fillId="0" borderId="12" xfId="2" applyFont="1" applyFill="1" applyBorder="1" applyAlignment="1">
      <alignment horizontal="left" vertical="center" wrapText="1"/>
    </xf>
    <xf numFmtId="0" fontId="22" fillId="0" borderId="15" xfId="2" applyFont="1" applyFill="1" applyBorder="1" applyAlignment="1">
      <alignment horizontal="left" vertical="center" wrapText="1"/>
    </xf>
    <xf numFmtId="44" fontId="30" fillId="6" borderId="0" xfId="1" applyFont="1" applyFill="1" applyBorder="1" applyAlignment="1">
      <alignment horizontal="center" vertical="center" wrapText="1"/>
    </xf>
    <xf numFmtId="44" fontId="13" fillId="5" borderId="0" xfId="1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3" fillId="7" borderId="35" xfId="0" applyFont="1" applyFill="1" applyBorder="1" applyAlignment="1">
      <alignment horizontal="center" vertical="center" wrapText="1"/>
    </xf>
    <xf numFmtId="2" fontId="7" fillId="10" borderId="13" xfId="1" applyNumberFormat="1" applyFont="1" applyFill="1" applyBorder="1" applyAlignment="1">
      <alignment horizontal="center" vertical="center"/>
    </xf>
    <xf numFmtId="2" fontId="7" fillId="10" borderId="22" xfId="1" applyNumberFormat="1" applyFont="1" applyFill="1" applyBorder="1" applyAlignment="1">
      <alignment horizontal="center" vertical="center"/>
    </xf>
    <xf numFmtId="2" fontId="7" fillId="10" borderId="20" xfId="1" applyNumberFormat="1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right" vertical="center"/>
    </xf>
    <xf numFmtId="0" fontId="33" fillId="11" borderId="1" xfId="0" applyFont="1" applyFill="1" applyBorder="1" applyAlignment="1">
      <alignment horizontal="center" vertical="center"/>
    </xf>
    <xf numFmtId="0" fontId="33" fillId="11" borderId="35" xfId="0" applyFont="1" applyFill="1" applyBorder="1" applyAlignment="1">
      <alignment horizontal="center" vertical="center"/>
    </xf>
    <xf numFmtId="0" fontId="33" fillId="11" borderId="21" xfId="0" applyFont="1" applyFill="1" applyBorder="1" applyAlignment="1">
      <alignment horizontal="center" vertical="center"/>
    </xf>
    <xf numFmtId="44" fontId="32" fillId="5" borderId="13" xfId="1" applyFont="1" applyFill="1" applyBorder="1" applyAlignment="1">
      <alignment horizontal="center" vertical="center"/>
    </xf>
    <xf numFmtId="44" fontId="32" fillId="5" borderId="20" xfId="1" applyFont="1" applyFill="1" applyBorder="1" applyAlignment="1">
      <alignment horizontal="center" vertical="center"/>
    </xf>
    <xf numFmtId="44" fontId="33" fillId="5" borderId="1" xfId="1" applyFont="1" applyFill="1" applyBorder="1" applyAlignment="1">
      <alignment horizontal="center" vertical="center"/>
    </xf>
    <xf numFmtId="44" fontId="33" fillId="5" borderId="21" xfId="1" applyFont="1" applyFill="1" applyBorder="1" applyAlignment="1">
      <alignment horizontal="center" vertical="center"/>
    </xf>
    <xf numFmtId="2" fontId="32" fillId="5" borderId="13" xfId="1" applyNumberFormat="1" applyFont="1" applyFill="1" applyBorder="1" applyAlignment="1">
      <alignment horizontal="center" vertical="center" wrapText="1"/>
    </xf>
    <xf numFmtId="2" fontId="32" fillId="5" borderId="20" xfId="1" applyNumberFormat="1" applyFont="1" applyFill="1" applyBorder="1" applyAlignment="1">
      <alignment horizontal="center" vertical="center" wrapText="1"/>
    </xf>
    <xf numFmtId="2" fontId="32" fillId="5" borderId="1" xfId="1" applyNumberFormat="1" applyFont="1" applyFill="1" applyBorder="1" applyAlignment="1">
      <alignment horizontal="center" vertical="center"/>
    </xf>
    <xf numFmtId="2" fontId="32" fillId="5" borderId="21" xfId="1" applyNumberFormat="1" applyFont="1" applyFill="1" applyBorder="1" applyAlignment="1">
      <alignment horizontal="center" vertical="center"/>
    </xf>
    <xf numFmtId="0" fontId="32" fillId="5" borderId="13" xfId="0" applyFont="1" applyFill="1" applyBorder="1" applyAlignment="1">
      <alignment horizontal="center" vertical="center"/>
    </xf>
    <xf numFmtId="0" fontId="32" fillId="5" borderId="20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2" fillId="5" borderId="21" xfId="0" applyFont="1" applyFill="1" applyBorder="1" applyAlignment="1">
      <alignment horizontal="center" vertical="center"/>
    </xf>
    <xf numFmtId="44" fontId="37" fillId="5" borderId="31" xfId="1" applyFont="1" applyFill="1" applyBorder="1" applyAlignment="1">
      <alignment horizontal="center" vertical="center"/>
    </xf>
    <xf numFmtId="44" fontId="37" fillId="5" borderId="33" xfId="1" applyFont="1" applyFill="1" applyBorder="1" applyAlignment="1">
      <alignment horizontal="center" vertical="center"/>
    </xf>
    <xf numFmtId="44" fontId="37" fillId="5" borderId="17" xfId="1" applyFont="1" applyFill="1" applyBorder="1" applyAlignment="1">
      <alignment horizontal="center" vertical="center" wrapText="1"/>
    </xf>
    <xf numFmtId="44" fontId="37" fillId="5" borderId="8" xfId="1" applyFont="1" applyFill="1" applyBorder="1" applyAlignment="1">
      <alignment horizontal="center" vertical="center" wrapText="1"/>
    </xf>
    <xf numFmtId="44" fontId="37" fillId="5" borderId="18" xfId="1" applyFont="1" applyFill="1" applyBorder="1" applyAlignment="1">
      <alignment horizontal="center" vertical="center"/>
    </xf>
    <xf numFmtId="44" fontId="37" fillId="5" borderId="2" xfId="1" applyFont="1" applyFill="1" applyBorder="1" applyAlignment="1">
      <alignment horizontal="center" vertical="center"/>
    </xf>
    <xf numFmtId="44" fontId="37" fillId="5" borderId="18" xfId="1" applyFont="1" applyFill="1" applyBorder="1" applyAlignment="1">
      <alignment horizontal="center" vertical="center" wrapText="1"/>
    </xf>
    <xf numFmtId="44" fontId="37" fillId="5" borderId="2" xfId="1" applyFont="1" applyFill="1" applyBorder="1" applyAlignment="1">
      <alignment horizontal="center" vertical="center" wrapText="1"/>
    </xf>
    <xf numFmtId="44" fontId="32" fillId="5" borderId="31" xfId="1" applyFont="1" applyFill="1" applyBorder="1" applyAlignment="1">
      <alignment horizontal="center" vertical="center" wrapText="1"/>
    </xf>
    <xf numFmtId="44" fontId="32" fillId="5" borderId="33" xfId="1" applyFont="1" applyFill="1" applyBorder="1" applyAlignment="1">
      <alignment horizontal="center" vertical="center" wrapText="1"/>
    </xf>
    <xf numFmtId="44" fontId="32" fillId="5" borderId="30" xfId="1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33" fillId="11" borderId="24" xfId="0" applyFont="1" applyFill="1" applyBorder="1" applyAlignment="1">
      <alignment horizontal="right" vertical="center"/>
    </xf>
    <xf numFmtId="0" fontId="33" fillId="11" borderId="26" xfId="0" applyFont="1" applyFill="1" applyBorder="1" applyAlignment="1">
      <alignment horizontal="right" vertical="center"/>
    </xf>
    <xf numFmtId="0" fontId="32" fillId="5" borderId="29" xfId="0" applyFont="1" applyFill="1" applyBorder="1" applyAlignment="1">
      <alignment horizontal="center" vertical="center"/>
    </xf>
    <xf numFmtId="0" fontId="32" fillId="5" borderId="32" xfId="0" applyFont="1" applyFill="1" applyBorder="1" applyAlignment="1">
      <alignment horizontal="center" vertical="center"/>
    </xf>
    <xf numFmtId="0" fontId="32" fillId="5" borderId="30" xfId="0" applyFont="1" applyFill="1" applyBorder="1" applyAlignment="1">
      <alignment horizontal="center" vertical="center"/>
    </xf>
    <xf numFmtId="0" fontId="32" fillId="5" borderId="23" xfId="0" applyFont="1" applyFill="1" applyBorder="1" applyAlignment="1">
      <alignment horizontal="center" vertical="center"/>
    </xf>
    <xf numFmtId="0" fontId="32" fillId="5" borderId="25" xfId="0" applyFont="1" applyFill="1" applyBorder="1" applyAlignment="1">
      <alignment horizontal="center" vertical="center"/>
    </xf>
    <xf numFmtId="0" fontId="44" fillId="5" borderId="44" xfId="0" applyFont="1" applyFill="1" applyBorder="1" applyAlignment="1">
      <alignment horizontal="center"/>
    </xf>
    <xf numFmtId="0" fontId="44" fillId="5" borderId="45" xfId="0" applyFont="1" applyFill="1" applyBorder="1" applyAlignment="1">
      <alignment horizontal="center"/>
    </xf>
    <xf numFmtId="0" fontId="44" fillId="5" borderId="51" xfId="0" applyFont="1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0" fontId="0" fillId="10" borderId="51" xfId="0" applyFill="1" applyBorder="1" applyAlignment="1">
      <alignment horizontal="center"/>
    </xf>
    <xf numFmtId="2" fontId="0" fillId="10" borderId="13" xfId="1" applyNumberFormat="1" applyFont="1" applyFill="1" applyBorder="1" applyAlignment="1">
      <alignment horizontal="center" vertical="center"/>
    </xf>
    <xf numFmtId="2" fontId="0" fillId="10" borderId="22" xfId="1" applyNumberFormat="1" applyFont="1" applyFill="1" applyBorder="1" applyAlignment="1">
      <alignment horizontal="center" vertical="center"/>
    </xf>
    <xf numFmtId="2" fontId="0" fillId="10" borderId="37" xfId="1" applyNumberFormat="1" applyFont="1" applyFill="1" applyBorder="1" applyAlignment="1">
      <alignment horizontal="center" vertical="center"/>
    </xf>
    <xf numFmtId="44" fontId="37" fillId="5" borderId="19" xfId="1" applyFont="1" applyFill="1" applyBorder="1" applyAlignment="1">
      <alignment horizontal="center" vertical="center"/>
    </xf>
    <xf numFmtId="44" fontId="37" fillId="5" borderId="9" xfId="1" applyFont="1" applyFill="1" applyBorder="1" applyAlignment="1">
      <alignment horizontal="center" vertical="center"/>
    </xf>
    <xf numFmtId="0" fontId="0" fillId="10" borderId="49" xfId="0" applyFill="1" applyBorder="1" applyAlignment="1">
      <alignment horizontal="center"/>
    </xf>
    <xf numFmtId="0" fontId="0" fillId="10" borderId="48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right" vertical="center"/>
    </xf>
    <xf numFmtId="0" fontId="33" fillId="11" borderId="21" xfId="0" applyFont="1" applyFill="1" applyBorder="1" applyAlignment="1">
      <alignment horizontal="right" vertical="center"/>
    </xf>
    <xf numFmtId="0" fontId="33" fillId="10" borderId="44" xfId="0" applyFont="1" applyFill="1" applyBorder="1" applyAlignment="1">
      <alignment horizontal="right" vertical="center"/>
    </xf>
    <xf numFmtId="0" fontId="33" fillId="10" borderId="45" xfId="0" applyFont="1" applyFill="1" applyBorder="1" applyAlignment="1">
      <alignment horizontal="right" vertical="center"/>
    </xf>
    <xf numFmtId="0" fontId="33" fillId="10" borderId="46" xfId="0" applyFont="1" applyFill="1" applyBorder="1" applyAlignment="1">
      <alignment horizontal="right" vertical="center"/>
    </xf>
    <xf numFmtId="0" fontId="33" fillId="10" borderId="2" xfId="0" applyFont="1" applyFill="1" applyBorder="1" applyAlignment="1">
      <alignment horizontal="right" vertical="center"/>
    </xf>
    <xf numFmtId="44" fontId="32" fillId="5" borderId="19" xfId="1" applyFont="1" applyFill="1" applyBorder="1" applyAlignment="1">
      <alignment horizontal="center" vertical="center" wrapText="1"/>
    </xf>
    <xf numFmtId="44" fontId="32" fillId="5" borderId="9" xfId="1" applyFont="1" applyFill="1" applyBorder="1" applyAlignment="1">
      <alignment horizontal="center" vertical="center" wrapText="1"/>
    </xf>
    <xf numFmtId="0" fontId="33" fillId="11" borderId="11" xfId="0" applyFont="1" applyFill="1" applyBorder="1" applyAlignment="1">
      <alignment horizontal="right" vertical="center"/>
    </xf>
    <xf numFmtId="0" fontId="32" fillId="5" borderId="17" xfId="0" applyFont="1" applyFill="1" applyBorder="1" applyAlignment="1">
      <alignment horizontal="center" vertical="center"/>
    </xf>
    <xf numFmtId="0" fontId="32" fillId="5" borderId="8" xfId="0" applyFont="1" applyFill="1" applyBorder="1" applyAlignment="1">
      <alignment horizontal="center" vertical="center"/>
    </xf>
    <xf numFmtId="0" fontId="32" fillId="5" borderId="18" xfId="0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44" fontId="32" fillId="5" borderId="18" xfId="1" applyFont="1" applyFill="1" applyBorder="1" applyAlignment="1">
      <alignment horizontal="center" vertical="center"/>
    </xf>
    <xf numFmtId="44" fontId="32" fillId="5" borderId="2" xfId="1" applyFont="1" applyFill="1" applyBorder="1" applyAlignment="1">
      <alignment horizontal="center" vertical="center"/>
    </xf>
    <xf numFmtId="44" fontId="32" fillId="5" borderId="18" xfId="1" applyFont="1" applyFill="1" applyBorder="1" applyAlignment="1">
      <alignment horizontal="center" vertical="center" wrapText="1"/>
    </xf>
    <xf numFmtId="44" fontId="32" fillId="5" borderId="2" xfId="1" applyFont="1" applyFill="1" applyBorder="1" applyAlignment="1">
      <alignment horizontal="center" vertical="center" wrapText="1"/>
    </xf>
    <xf numFmtId="9" fontId="41" fillId="7" borderId="2" xfId="4" applyFont="1" applyFill="1" applyBorder="1" applyAlignment="1">
      <alignment horizontal="center" vertical="center"/>
    </xf>
    <xf numFmtId="9" fontId="41" fillId="7" borderId="9" xfId="4" applyFont="1" applyFill="1" applyBorder="1" applyAlignment="1">
      <alignment horizontal="center" vertical="center"/>
    </xf>
    <xf numFmtId="44" fontId="42" fillId="7" borderId="8" xfId="1" applyFont="1" applyFill="1" applyBorder="1" applyAlignment="1">
      <alignment horizontal="center" vertical="center"/>
    </xf>
    <xf numFmtId="44" fontId="42" fillId="7" borderId="2" xfId="1" applyFont="1" applyFill="1" applyBorder="1" applyAlignment="1">
      <alignment horizontal="center" vertical="center"/>
    </xf>
    <xf numFmtId="44" fontId="42" fillId="7" borderId="9" xfId="1" applyFont="1" applyFill="1" applyBorder="1" applyAlignment="1">
      <alignment horizontal="center" vertical="center"/>
    </xf>
    <xf numFmtId="44" fontId="42" fillId="7" borderId="10" xfId="1" applyFont="1" applyFill="1" applyBorder="1" applyAlignment="1">
      <alignment horizontal="center" vertical="center"/>
    </xf>
    <xf numFmtId="44" fontId="42" fillId="7" borderId="11" xfId="1" applyFont="1" applyFill="1" applyBorder="1" applyAlignment="1">
      <alignment horizontal="center" vertical="center"/>
    </xf>
    <xf numFmtId="44" fontId="42" fillId="7" borderId="27" xfId="1" applyFont="1" applyFill="1" applyBorder="1" applyAlignment="1">
      <alignment horizontal="center" vertical="center"/>
    </xf>
    <xf numFmtId="44" fontId="39" fillId="11" borderId="13" xfId="1" applyFont="1" applyFill="1" applyBorder="1" applyAlignment="1">
      <alignment horizontal="center" vertical="center"/>
    </xf>
    <xf numFmtId="44" fontId="39" fillId="11" borderId="37" xfId="1" applyFont="1" applyFill="1" applyBorder="1" applyAlignment="1">
      <alignment horizontal="center" vertical="center"/>
    </xf>
    <xf numFmtId="44" fontId="39" fillId="11" borderId="36" xfId="1" applyFont="1" applyFill="1" applyBorder="1" applyAlignment="1">
      <alignment horizontal="center" vertical="center"/>
    </xf>
    <xf numFmtId="44" fontId="39" fillId="11" borderId="38" xfId="1" applyFont="1" applyFill="1" applyBorder="1" applyAlignment="1">
      <alignment horizontal="center" vertical="center"/>
    </xf>
    <xf numFmtId="0" fontId="39" fillId="11" borderId="24" xfId="0" applyFont="1" applyFill="1" applyBorder="1" applyAlignment="1">
      <alignment horizontal="right" vertical="center"/>
    </xf>
    <xf numFmtId="0" fontId="39" fillId="11" borderId="26" xfId="0" applyFont="1" applyFill="1" applyBorder="1" applyAlignment="1">
      <alignment horizontal="right" vertical="center"/>
    </xf>
    <xf numFmtId="0" fontId="37" fillId="5" borderId="30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2" fontId="37" fillId="7" borderId="17" xfId="1" applyNumberFormat="1" applyFont="1" applyFill="1" applyBorder="1" applyAlignment="1">
      <alignment horizontal="center" vertical="center"/>
    </xf>
    <xf numFmtId="2" fontId="37" fillId="7" borderId="8" xfId="1" applyNumberFormat="1" applyFont="1" applyFill="1" applyBorder="1" applyAlignment="1">
      <alignment horizontal="center" vertical="center"/>
    </xf>
    <xf numFmtId="44" fontId="37" fillId="7" borderId="30" xfId="1" applyFont="1" applyFill="1" applyBorder="1" applyAlignment="1">
      <alignment horizontal="center" vertical="center"/>
    </xf>
    <xf numFmtId="44" fontId="37" fillId="7" borderId="22" xfId="1" applyFont="1" applyFill="1" applyBorder="1" applyAlignment="1">
      <alignment horizontal="center" vertical="center"/>
    </xf>
    <xf numFmtId="44" fontId="37" fillId="7" borderId="20" xfId="1" applyFont="1" applyFill="1" applyBorder="1" applyAlignment="1">
      <alignment horizontal="center" vertical="center"/>
    </xf>
    <xf numFmtId="44" fontId="37" fillId="7" borderId="30" xfId="1" applyFont="1" applyFill="1" applyBorder="1" applyAlignment="1">
      <alignment horizontal="center" vertical="center" wrapText="1"/>
    </xf>
    <xf numFmtId="44" fontId="37" fillId="7" borderId="22" xfId="1" applyFont="1" applyFill="1" applyBorder="1" applyAlignment="1">
      <alignment horizontal="center" vertical="center" wrapText="1"/>
    </xf>
    <xf numFmtId="44" fontId="37" fillId="7" borderId="20" xfId="1" applyFont="1" applyFill="1" applyBorder="1" applyAlignment="1">
      <alignment horizontal="center" vertical="center" wrapText="1"/>
    </xf>
    <xf numFmtId="44" fontId="37" fillId="7" borderId="19" xfId="1" applyFont="1" applyFill="1" applyBorder="1" applyAlignment="1">
      <alignment horizontal="center" vertical="center" wrapText="1"/>
    </xf>
    <xf numFmtId="44" fontId="37" fillId="7" borderId="9" xfId="1" applyFont="1" applyFill="1" applyBorder="1" applyAlignment="1">
      <alignment horizontal="center" vertical="center" wrapText="1"/>
    </xf>
    <xf numFmtId="44" fontId="40" fillId="6" borderId="3" xfId="1" applyFont="1" applyFill="1" applyBorder="1" applyAlignment="1">
      <alignment horizontal="center" vertical="center" wrapText="1"/>
    </xf>
    <xf numFmtId="44" fontId="40" fillId="6" borderId="6" xfId="1" applyFont="1" applyFill="1" applyBorder="1" applyAlignment="1">
      <alignment horizontal="center" vertical="center" wrapText="1"/>
    </xf>
    <xf numFmtId="44" fontId="40" fillId="6" borderId="4" xfId="1" applyFont="1" applyFill="1" applyBorder="1" applyAlignment="1">
      <alignment horizontal="center" vertical="center" wrapText="1"/>
    </xf>
    <xf numFmtId="44" fontId="40" fillId="6" borderId="5" xfId="1" applyFont="1" applyFill="1" applyBorder="1" applyAlignment="1">
      <alignment horizontal="center" vertical="center" wrapText="1"/>
    </xf>
    <xf numFmtId="44" fontId="40" fillId="6" borderId="0" xfId="1" applyFont="1" applyFill="1" applyBorder="1" applyAlignment="1">
      <alignment horizontal="center" vertical="center" wrapText="1"/>
    </xf>
    <xf numFmtId="44" fontId="40" fillId="6" borderId="7" xfId="1" applyFont="1" applyFill="1" applyBorder="1" applyAlignment="1">
      <alignment horizontal="center" vertical="center" wrapText="1"/>
    </xf>
    <xf numFmtId="44" fontId="37" fillId="5" borderId="30" xfId="1" applyFont="1" applyFill="1" applyBorder="1" applyAlignment="1">
      <alignment horizontal="center" vertical="center"/>
    </xf>
    <xf numFmtId="44" fontId="37" fillId="5" borderId="20" xfId="1" applyFont="1" applyFill="1" applyBorder="1" applyAlignment="1">
      <alignment horizontal="center" vertical="center"/>
    </xf>
    <xf numFmtId="44" fontId="37" fillId="5" borderId="41" xfId="1" applyFont="1" applyFill="1" applyBorder="1" applyAlignment="1">
      <alignment horizontal="center" vertical="center"/>
    </xf>
    <xf numFmtId="44" fontId="37" fillId="5" borderId="34" xfId="1" applyFont="1" applyFill="1" applyBorder="1" applyAlignment="1">
      <alignment horizontal="center" vertical="center"/>
    </xf>
    <xf numFmtId="0" fontId="39" fillId="11" borderId="2" xfId="0" applyFont="1" applyFill="1" applyBorder="1" applyAlignment="1">
      <alignment horizontal="right" vertical="center"/>
    </xf>
    <xf numFmtId="0" fontId="39" fillId="5" borderId="1" xfId="0" applyFont="1" applyFill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center" vertical="center" wrapText="1"/>
    </xf>
    <xf numFmtId="44" fontId="41" fillId="7" borderId="39" xfId="1" applyFont="1" applyFill="1" applyBorder="1" applyAlignment="1">
      <alignment horizontal="center" vertical="center"/>
    </xf>
    <xf numFmtId="44" fontId="41" fillId="7" borderId="35" xfId="1" applyFont="1" applyFill="1" applyBorder="1" applyAlignment="1">
      <alignment horizontal="center" vertical="center"/>
    </xf>
    <xf numFmtId="44" fontId="41" fillId="7" borderId="40" xfId="1" applyFont="1" applyFill="1" applyBorder="1" applyAlignment="1">
      <alignment horizontal="center" vertical="center"/>
    </xf>
    <xf numFmtId="2" fontId="37" fillId="7" borderId="42" xfId="1" applyNumberFormat="1" applyFont="1" applyFill="1" applyBorder="1" applyAlignment="1">
      <alignment horizontal="center" vertical="center"/>
    </xf>
    <xf numFmtId="2" fontId="37" fillId="7" borderId="43" xfId="1" applyNumberFormat="1" applyFont="1" applyFill="1" applyBorder="1" applyAlignment="1">
      <alignment horizontal="center" vertical="center"/>
    </xf>
    <xf numFmtId="0" fontId="38" fillId="10" borderId="8" xfId="0" applyFont="1" applyFill="1" applyBorder="1" applyAlignment="1">
      <alignment horizontal="center" vertical="center" wrapText="1"/>
    </xf>
    <xf numFmtId="0" fontId="38" fillId="10" borderId="10" xfId="0" applyFont="1" applyFill="1" applyBorder="1" applyAlignment="1">
      <alignment horizontal="center" vertical="center" wrapText="1"/>
    </xf>
    <xf numFmtId="0" fontId="37" fillId="5" borderId="29" xfId="0" applyFont="1" applyFill="1" applyBorder="1" applyAlignment="1">
      <alignment horizontal="center" vertical="center"/>
    </xf>
    <xf numFmtId="0" fontId="37" fillId="5" borderId="32" xfId="0" applyFont="1" applyFill="1" applyBorder="1" applyAlignment="1">
      <alignment horizontal="center" vertical="center"/>
    </xf>
  </cellXfs>
  <cellStyles count="6">
    <cellStyle name="Cor1" xfId="2" builtinId="29"/>
    <cellStyle name="Hiperligação" xfId="5" builtinId="8"/>
    <cellStyle name="Moeda" xfId="1" builtinId="4"/>
    <cellStyle name="Normal" xfId="0" builtinId="0"/>
    <cellStyle name="Percentagem" xfId="4" builtinId="5"/>
    <cellStyle name="Vírgula" xfId="3" builtinId="3"/>
  </cellStyles>
  <dxfs count="0"/>
  <tableStyles count="0" defaultTableStyle="TableStyleMedium2" defaultPivotStyle="PivotStyleLight16"/>
  <colors>
    <mruColors>
      <color rgb="FFFF6501"/>
      <color rgb="FFDAEEF3"/>
      <color rgb="FF01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462553</xdr:colOff>
      <xdr:row>1</xdr:row>
      <xdr:rowOff>113651</xdr:rowOff>
    </xdr:from>
    <xdr:to>
      <xdr:col>7</xdr:col>
      <xdr:colOff>454603</xdr:colOff>
      <xdr:row>4</xdr:row>
      <xdr:rowOff>108917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47CBD68-E301-9E7E-07C2-2957BF678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0428" y="304151"/>
          <a:ext cx="1836436" cy="5667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449172</xdr:colOff>
      <xdr:row>1</xdr:row>
      <xdr:rowOff>116277</xdr:rowOff>
    </xdr:from>
    <xdr:to>
      <xdr:col>7</xdr:col>
      <xdr:colOff>402456</xdr:colOff>
      <xdr:row>4</xdr:row>
      <xdr:rowOff>97663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F3640F-D1A3-43E8-90CC-A90B22D0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047" y="306777"/>
          <a:ext cx="1801134" cy="5528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berandamios.com/pt/andaime-dobravel-90-cm/andaime-dobravel-90x190-plataforma-190-ce-470-m-altura-de-trabalh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C937-B9D3-4B77-857D-5E6EF96C5AFE}">
  <sheetPr>
    <pageSetUpPr fitToPage="1"/>
  </sheetPr>
  <dimension ref="A1:AD37"/>
  <sheetViews>
    <sheetView showGridLines="0" tabSelected="1" zoomScale="130" zoomScaleNormal="130" zoomScaleSheetLayoutView="115" workbookViewId="0">
      <pane ySplit="7" topLeftCell="A8" activePane="bottomLeft" state="frozen"/>
      <selection pane="bottomLeft" activeCell="E16" sqref="E16"/>
    </sheetView>
  </sheetViews>
  <sheetFormatPr defaultColWidth="9.140625" defaultRowHeight="15" x14ac:dyDescent="0.25"/>
  <cols>
    <col min="1" max="1" width="9.140625" style="1"/>
    <col min="2" max="2" width="51" style="1" customWidth="1"/>
    <col min="3" max="3" width="7" style="9" customWidth="1"/>
    <col min="4" max="4" width="6.85546875" style="1" customWidth="1"/>
    <col min="5" max="8" width="13.85546875" style="11" customWidth="1"/>
    <col min="9" max="9" width="0.42578125" style="11" customWidth="1"/>
    <col min="10" max="10" width="12.5703125" style="11" customWidth="1"/>
    <col min="11" max="11" width="10" style="11" customWidth="1"/>
    <col min="12" max="12" width="3.28515625" style="11" customWidth="1"/>
    <col min="13" max="13" width="37.7109375" style="1" customWidth="1"/>
    <col min="14" max="14" width="13" style="36" customWidth="1"/>
    <col min="15" max="15" width="0.28515625" style="1" customWidth="1"/>
    <col min="16" max="17" width="8.140625" style="23" customWidth="1"/>
    <col min="18" max="18" width="9.42578125" style="23" bestFit="1" customWidth="1"/>
    <col min="19" max="21" width="8.140625" style="23" customWidth="1"/>
    <col min="22" max="22" width="9.140625" style="2"/>
    <col min="23" max="30" width="11.28515625" style="2" customWidth="1"/>
    <col min="31" max="16384" width="9.140625" style="2"/>
  </cols>
  <sheetData>
    <row r="1" spans="1:30" x14ac:dyDescent="0.25">
      <c r="A1" s="128"/>
      <c r="B1" s="129"/>
      <c r="C1" s="128"/>
      <c r="D1" s="128"/>
      <c r="E1" s="34"/>
      <c r="F1" s="34"/>
      <c r="G1" s="35"/>
      <c r="H1" s="35"/>
      <c r="I1" s="184"/>
      <c r="J1" s="288"/>
      <c r="K1" s="288"/>
      <c r="L1" s="288"/>
      <c r="M1" s="288"/>
      <c r="N1" s="288"/>
      <c r="O1" s="199"/>
    </row>
    <row r="2" spans="1:30" x14ac:dyDescent="0.25">
      <c r="A2" s="128"/>
      <c r="B2" s="130" t="s">
        <v>327</v>
      </c>
      <c r="C2" s="130"/>
      <c r="D2" s="130"/>
      <c r="E2" s="130"/>
      <c r="F2" s="130"/>
      <c r="G2" s="130"/>
      <c r="H2" s="130"/>
      <c r="I2" s="185"/>
      <c r="J2" s="289"/>
      <c r="K2" s="289"/>
      <c r="L2" s="289"/>
      <c r="M2" s="289"/>
      <c r="N2" s="289"/>
      <c r="O2" s="185"/>
    </row>
    <row r="3" spans="1:30" x14ac:dyDescent="0.25">
      <c r="A3" s="128"/>
      <c r="B3" s="131" t="s">
        <v>330</v>
      </c>
      <c r="C3" s="131"/>
      <c r="D3" s="131"/>
      <c r="E3" s="131"/>
      <c r="F3" s="131"/>
      <c r="G3" s="131"/>
      <c r="H3" s="131"/>
      <c r="I3" s="186"/>
      <c r="J3" s="289" t="s">
        <v>152</v>
      </c>
      <c r="K3" s="289"/>
      <c r="L3" s="289"/>
      <c r="M3" s="289"/>
      <c r="N3" s="289"/>
      <c r="O3" s="186"/>
      <c r="P3" s="25" t="s">
        <v>150</v>
      </c>
      <c r="Q3" s="24"/>
      <c r="R3" s="79" t="s">
        <v>311</v>
      </c>
      <c r="S3" s="26" t="s">
        <v>43</v>
      </c>
      <c r="T3" s="27" t="s">
        <v>42</v>
      </c>
      <c r="U3" s="28" t="s">
        <v>44</v>
      </c>
    </row>
    <row r="4" spans="1:30" x14ac:dyDescent="0.25">
      <c r="A4" s="128"/>
      <c r="B4" s="131" t="s">
        <v>328</v>
      </c>
      <c r="C4" s="131"/>
      <c r="D4" s="131"/>
      <c r="E4" s="131"/>
      <c r="F4" s="131"/>
      <c r="G4" s="131"/>
      <c r="H4" s="131"/>
      <c r="I4" s="186"/>
      <c r="J4" s="289"/>
      <c r="K4" s="289"/>
      <c r="L4" s="289"/>
      <c r="M4" s="289"/>
      <c r="N4" s="289"/>
      <c r="O4" s="186"/>
      <c r="P4" s="29">
        <v>1.1499999999999999</v>
      </c>
      <c r="Q4" s="24"/>
      <c r="R4" s="79">
        <v>1</v>
      </c>
      <c r="S4" s="242">
        <f>J30-T4</f>
        <v>227.42999999999989</v>
      </c>
      <c r="T4" s="241">
        <f>(F28*P4)-F28</f>
        <v>227.42999999999984</v>
      </c>
      <c r="U4" s="28">
        <f>H28/F28</f>
        <v>1.2999999999999996</v>
      </c>
    </row>
    <row r="5" spans="1:30" x14ac:dyDescent="0.25">
      <c r="A5" s="128"/>
      <c r="B5" s="131" t="s">
        <v>329</v>
      </c>
      <c r="C5" s="131"/>
      <c r="D5" s="131"/>
      <c r="E5" s="131"/>
      <c r="F5" s="131"/>
      <c r="G5" s="131"/>
      <c r="H5" s="131"/>
      <c r="I5" s="186"/>
      <c r="J5" s="131"/>
      <c r="K5" s="131"/>
      <c r="L5" s="131"/>
      <c r="M5" s="131"/>
      <c r="N5" s="182"/>
      <c r="O5" s="186"/>
      <c r="P5" s="25" t="s">
        <v>41</v>
      </c>
      <c r="Q5" s="24"/>
      <c r="R5" s="24"/>
      <c r="S5" s="24"/>
      <c r="T5" s="24"/>
      <c r="U5" s="24"/>
    </row>
    <row r="6" spans="1:30" x14ac:dyDescent="0.25">
      <c r="A6" s="128"/>
      <c r="B6" s="132"/>
      <c r="C6" s="128"/>
      <c r="D6" s="128"/>
      <c r="E6" s="34"/>
      <c r="F6" s="34"/>
      <c r="G6" s="35"/>
      <c r="H6" s="133" t="s">
        <v>30</v>
      </c>
      <c r="I6" s="184"/>
      <c r="J6" s="35"/>
      <c r="K6" s="35"/>
      <c r="L6" s="35"/>
      <c r="N6" s="183"/>
      <c r="O6" s="200"/>
      <c r="P6" s="30" t="s">
        <v>40</v>
      </c>
      <c r="Q6" s="30" t="s">
        <v>35</v>
      </c>
      <c r="R6" s="30" t="s">
        <v>36</v>
      </c>
      <c r="S6" s="30" t="s">
        <v>37</v>
      </c>
      <c r="T6" s="30" t="s">
        <v>38</v>
      </c>
      <c r="U6" s="30" t="s">
        <v>39</v>
      </c>
    </row>
    <row r="7" spans="1:30" ht="24.75" thickBot="1" x14ac:dyDescent="0.3">
      <c r="A7" s="134" t="s">
        <v>0</v>
      </c>
      <c r="B7" s="134" t="s">
        <v>13</v>
      </c>
      <c r="C7" s="134" t="s">
        <v>14</v>
      </c>
      <c r="D7" s="134" t="s">
        <v>1</v>
      </c>
      <c r="E7" s="135" t="s">
        <v>2</v>
      </c>
      <c r="F7" s="135" t="s">
        <v>12</v>
      </c>
      <c r="G7" s="136" t="s">
        <v>74</v>
      </c>
      <c r="H7" s="136" t="s">
        <v>75</v>
      </c>
      <c r="I7" s="187"/>
      <c r="J7" s="180" t="s">
        <v>31</v>
      </c>
      <c r="K7" s="305" t="s">
        <v>32</v>
      </c>
      <c r="L7" s="305"/>
      <c r="M7" s="136" t="s">
        <v>15</v>
      </c>
      <c r="N7" s="181" t="s">
        <v>73</v>
      </c>
      <c r="O7" s="187"/>
      <c r="P7" s="29">
        <v>1.1499999999999999</v>
      </c>
      <c r="Q7" s="29">
        <v>1.25</v>
      </c>
      <c r="R7" s="29">
        <v>1.25</v>
      </c>
      <c r="S7" s="29">
        <v>1.25</v>
      </c>
      <c r="T7" s="29">
        <v>1.25</v>
      </c>
      <c r="U7" s="29">
        <v>1.25</v>
      </c>
    </row>
    <row r="8" spans="1:30" x14ac:dyDescent="0.25">
      <c r="A8" s="137">
        <v>1</v>
      </c>
      <c r="B8" s="137" t="s">
        <v>331</v>
      </c>
      <c r="C8" s="138"/>
      <c r="D8" s="138"/>
      <c r="E8" s="139"/>
      <c r="F8" s="140">
        <f>SUM(F9:F11)</f>
        <v>759.21</v>
      </c>
      <c r="G8" s="141"/>
      <c r="H8" s="140">
        <f>SUM(H9:H11)</f>
        <v>986.97299999999984</v>
      </c>
      <c r="I8" s="187"/>
      <c r="J8" s="173">
        <f>SUM(J9:J11)</f>
        <v>227.76299999999986</v>
      </c>
      <c r="K8" s="306"/>
      <c r="L8" s="306"/>
      <c r="M8" s="141"/>
      <c r="N8" s="174">
        <f>$P$7*R4</f>
        <v>1.1499999999999999</v>
      </c>
      <c r="O8" s="201"/>
      <c r="W8" s="281" t="s">
        <v>304</v>
      </c>
      <c r="X8" s="282"/>
      <c r="Y8" s="282"/>
      <c r="Z8" s="282"/>
      <c r="AA8" s="282"/>
      <c r="AB8" s="282"/>
      <c r="AC8" s="282"/>
      <c r="AD8" s="283"/>
    </row>
    <row r="9" spans="1:30" ht="72" x14ac:dyDescent="0.25">
      <c r="A9" s="142" t="s">
        <v>3</v>
      </c>
      <c r="B9" s="143" t="s">
        <v>332</v>
      </c>
      <c r="C9" s="144" t="s">
        <v>94</v>
      </c>
      <c r="D9" s="145">
        <v>1</v>
      </c>
      <c r="E9" s="121">
        <f>M.Calculo!H22</f>
        <v>382</v>
      </c>
      <c r="F9" s="146">
        <f>D9*E9</f>
        <v>382</v>
      </c>
      <c r="G9" s="20">
        <f>((E9*$P$4*$R$4)-E9)+(E9*$N$8)</f>
        <v>496.59999999999991</v>
      </c>
      <c r="H9" s="20">
        <f>G9*D9</f>
        <v>496.59999999999991</v>
      </c>
      <c r="I9" s="188"/>
      <c r="J9" s="175">
        <f>H9-F9</f>
        <v>114.59999999999991</v>
      </c>
      <c r="K9" s="301">
        <f>(H9/F9)-100%</f>
        <v>0.29999999999999982</v>
      </c>
      <c r="L9" s="301"/>
      <c r="M9" s="20"/>
      <c r="N9" s="123"/>
      <c r="O9" s="188"/>
      <c r="W9" s="231" t="s">
        <v>301</v>
      </c>
      <c r="X9" s="228" t="s">
        <v>310</v>
      </c>
      <c r="Y9" s="228" t="s">
        <v>309</v>
      </c>
      <c r="Z9" s="228" t="s">
        <v>308</v>
      </c>
      <c r="AA9" s="228" t="s">
        <v>97</v>
      </c>
      <c r="AB9" s="228" t="s">
        <v>305</v>
      </c>
      <c r="AC9" s="228" t="s">
        <v>306</v>
      </c>
      <c r="AD9" s="232" t="s">
        <v>307</v>
      </c>
    </row>
    <row r="10" spans="1:30" ht="47.25" customHeight="1" x14ac:dyDescent="0.25">
      <c r="A10" s="142" t="s">
        <v>10</v>
      </c>
      <c r="B10" s="143" t="s">
        <v>335</v>
      </c>
      <c r="C10" s="144" t="s">
        <v>94</v>
      </c>
      <c r="D10" s="145">
        <v>1</v>
      </c>
      <c r="E10" s="121">
        <f>M.Calculo!H45</f>
        <v>214.5</v>
      </c>
      <c r="F10" s="146">
        <f t="shared" ref="F10" si="0">D10*E10</f>
        <v>214.5</v>
      </c>
      <c r="G10" s="20">
        <f t="shared" ref="G10:G15" si="1">((E10*$P$4*$R$4)-E10)+(E10*$N$8)</f>
        <v>278.84999999999997</v>
      </c>
      <c r="H10" s="20">
        <f t="shared" ref="H10" si="2">G10*D10</f>
        <v>278.84999999999997</v>
      </c>
      <c r="I10" s="188"/>
      <c r="J10" s="175">
        <f t="shared" ref="J10:J15" si="3">H10-F10</f>
        <v>64.349999999999966</v>
      </c>
      <c r="K10" s="301">
        <f t="shared" ref="K10:K11" si="4">(H10/F10)-100%</f>
        <v>0.29999999999999982</v>
      </c>
      <c r="L10" s="301"/>
      <c r="M10" s="20"/>
      <c r="N10" s="123"/>
      <c r="O10" s="188"/>
      <c r="W10" s="233" t="s">
        <v>302</v>
      </c>
      <c r="X10" s="229">
        <v>4</v>
      </c>
      <c r="Y10" s="229">
        <v>3</v>
      </c>
      <c r="Z10" s="229">
        <v>2.6</v>
      </c>
      <c r="AA10" s="230">
        <f>X10*Y10</f>
        <v>12</v>
      </c>
      <c r="AB10" s="230">
        <f>((X10*Z10)+(Y10*Z10))*2</f>
        <v>36.400000000000006</v>
      </c>
      <c r="AC10" s="230">
        <f>X10*Y10</f>
        <v>12</v>
      </c>
      <c r="AD10" s="234">
        <f>(X10+Y10)*2</f>
        <v>14</v>
      </c>
    </row>
    <row r="11" spans="1:30" ht="24" x14ac:dyDescent="0.25">
      <c r="A11" s="142" t="s">
        <v>11</v>
      </c>
      <c r="B11" s="143" t="s">
        <v>334</v>
      </c>
      <c r="C11" s="144" t="s">
        <v>94</v>
      </c>
      <c r="D11" s="145">
        <v>1</v>
      </c>
      <c r="E11" s="121">
        <f>M.Calculo!H68</f>
        <v>162.71</v>
      </c>
      <c r="F11" s="146">
        <f t="shared" ref="F11" si="5">D11*E11</f>
        <v>162.71</v>
      </c>
      <c r="G11" s="20">
        <f t="shared" si="1"/>
        <v>211.523</v>
      </c>
      <c r="H11" s="20">
        <f t="shared" ref="H11" si="6">G11*D11</f>
        <v>211.523</v>
      </c>
      <c r="I11" s="188"/>
      <c r="J11" s="175">
        <f t="shared" si="3"/>
        <v>48.812999999999988</v>
      </c>
      <c r="K11" s="301">
        <f t="shared" si="4"/>
        <v>0.29999999999999982</v>
      </c>
      <c r="L11" s="301"/>
      <c r="M11" s="20"/>
      <c r="N11" s="123"/>
      <c r="O11" s="188"/>
      <c r="W11" s="233" t="s">
        <v>326</v>
      </c>
      <c r="X11" s="229">
        <f>2.5+3</f>
        <v>5.5</v>
      </c>
      <c r="Y11" s="229">
        <v>2.1</v>
      </c>
      <c r="Z11" s="229">
        <v>2.6</v>
      </c>
      <c r="AA11" s="230">
        <f t="shared" ref="AA11:AA16" si="7">X11*Y11</f>
        <v>11.55</v>
      </c>
      <c r="AB11" s="230">
        <f t="shared" ref="AB11:AB16" si="8">((X11*Z11)+(Y11*Z11))*2</f>
        <v>39.520000000000003</v>
      </c>
      <c r="AC11" s="230">
        <f t="shared" ref="AC11:AC16" si="9">X11*Y11</f>
        <v>11.55</v>
      </c>
      <c r="AD11" s="234">
        <f t="shared" ref="AD11:AD16" si="10">(X11+Y11)*2</f>
        <v>15.2</v>
      </c>
    </row>
    <row r="12" spans="1:30" x14ac:dyDescent="0.25">
      <c r="A12" s="137">
        <v>2</v>
      </c>
      <c r="B12" s="137"/>
      <c r="C12" s="138"/>
      <c r="D12" s="147"/>
      <c r="E12" s="148"/>
      <c r="F12" s="149">
        <f>SUM(F13:F16)</f>
        <v>756.99</v>
      </c>
      <c r="G12" s="147"/>
      <c r="H12" s="149">
        <f>SUM(H13:H16)</f>
        <v>984.08699999999976</v>
      </c>
      <c r="I12" s="189"/>
      <c r="J12" s="176">
        <f>SUM(J13:J16)</f>
        <v>227.09699999999987</v>
      </c>
      <c r="K12" s="300"/>
      <c r="L12" s="300"/>
      <c r="M12" s="147"/>
      <c r="N12" s="174">
        <f>$P$7*R4</f>
        <v>1.1499999999999999</v>
      </c>
      <c r="O12" s="202"/>
      <c r="W12" s="233"/>
      <c r="X12" s="229"/>
      <c r="Y12" s="229"/>
      <c r="Z12" s="229"/>
      <c r="AA12" s="230">
        <f t="shared" si="7"/>
        <v>0</v>
      </c>
      <c r="AB12" s="230">
        <f t="shared" si="8"/>
        <v>0</v>
      </c>
      <c r="AC12" s="230">
        <f t="shared" si="9"/>
        <v>0</v>
      </c>
      <c r="AD12" s="234">
        <f t="shared" si="10"/>
        <v>0</v>
      </c>
    </row>
    <row r="13" spans="1:30" ht="72" x14ac:dyDescent="0.25">
      <c r="A13" s="142" t="s">
        <v>4</v>
      </c>
      <c r="B13" s="143" t="s">
        <v>332</v>
      </c>
      <c r="C13" s="144" t="s">
        <v>94</v>
      </c>
      <c r="D13" s="145">
        <v>1</v>
      </c>
      <c r="E13" s="121">
        <f>M.Calculo!H91</f>
        <v>382</v>
      </c>
      <c r="F13" s="121">
        <f>D13*E13</f>
        <v>382</v>
      </c>
      <c r="G13" s="20">
        <f t="shared" si="1"/>
        <v>496.59999999999991</v>
      </c>
      <c r="H13" s="20">
        <f>G13*D13</f>
        <v>496.59999999999991</v>
      </c>
      <c r="I13" s="188"/>
      <c r="J13" s="175">
        <f t="shared" si="3"/>
        <v>114.59999999999991</v>
      </c>
      <c r="K13" s="301">
        <f>(H13/F13)-100%</f>
        <v>0.29999999999999982</v>
      </c>
      <c r="L13" s="301"/>
      <c r="M13" s="20"/>
      <c r="N13" s="123"/>
      <c r="O13" s="188"/>
      <c r="W13" s="233"/>
      <c r="X13" s="229"/>
      <c r="Y13" s="229"/>
      <c r="Z13" s="229"/>
      <c r="AA13" s="230">
        <f t="shared" si="7"/>
        <v>0</v>
      </c>
      <c r="AB13" s="230">
        <f t="shared" si="8"/>
        <v>0</v>
      </c>
      <c r="AC13" s="230">
        <f t="shared" si="9"/>
        <v>0</v>
      </c>
      <c r="AD13" s="234">
        <f t="shared" si="10"/>
        <v>0</v>
      </c>
    </row>
    <row r="14" spans="1:30" ht="48" x14ac:dyDescent="0.25">
      <c r="A14" s="142" t="s">
        <v>5</v>
      </c>
      <c r="B14" s="143" t="s">
        <v>335</v>
      </c>
      <c r="C14" s="144" t="s">
        <v>94</v>
      </c>
      <c r="D14" s="145">
        <v>1</v>
      </c>
      <c r="E14" s="121">
        <f>M.Calculo!H114</f>
        <v>209.5</v>
      </c>
      <c r="F14" s="121">
        <f t="shared" ref="F14:F15" si="11">D14*E14</f>
        <v>209.5</v>
      </c>
      <c r="G14" s="20">
        <f t="shared" si="1"/>
        <v>272.34999999999997</v>
      </c>
      <c r="H14" s="20">
        <f t="shared" ref="H14:H15" si="12">G14*D14</f>
        <v>272.34999999999997</v>
      </c>
      <c r="I14" s="188"/>
      <c r="J14" s="175">
        <f t="shared" si="3"/>
        <v>62.849999999999966</v>
      </c>
      <c r="K14" s="301">
        <f t="shared" ref="K14:K15" si="13">(H14/F14)-100%</f>
        <v>0.29999999999999982</v>
      </c>
      <c r="L14" s="301"/>
      <c r="M14" s="20"/>
      <c r="N14" s="123"/>
      <c r="O14" s="188"/>
      <c r="W14" s="233"/>
      <c r="X14" s="229"/>
      <c r="Y14" s="229"/>
      <c r="Z14" s="229"/>
      <c r="AA14" s="230">
        <f t="shared" si="7"/>
        <v>0</v>
      </c>
      <c r="AB14" s="230">
        <f t="shared" si="8"/>
        <v>0</v>
      </c>
      <c r="AC14" s="230">
        <f t="shared" si="9"/>
        <v>0</v>
      </c>
      <c r="AD14" s="234">
        <f t="shared" si="10"/>
        <v>0</v>
      </c>
    </row>
    <row r="15" spans="1:30" ht="24" x14ac:dyDescent="0.25">
      <c r="A15" s="142" t="s">
        <v>6</v>
      </c>
      <c r="B15" s="143" t="s">
        <v>334</v>
      </c>
      <c r="C15" s="144" t="s">
        <v>94</v>
      </c>
      <c r="D15" s="145">
        <v>1</v>
      </c>
      <c r="E15" s="121">
        <f>M.Calculo!H137</f>
        <v>165.49</v>
      </c>
      <c r="F15" s="121">
        <f t="shared" si="11"/>
        <v>165.49</v>
      </c>
      <c r="G15" s="20">
        <f t="shared" si="1"/>
        <v>215.137</v>
      </c>
      <c r="H15" s="20">
        <f t="shared" si="12"/>
        <v>215.137</v>
      </c>
      <c r="I15" s="188"/>
      <c r="J15" s="175">
        <f t="shared" si="3"/>
        <v>49.646999999999991</v>
      </c>
      <c r="K15" s="301">
        <f t="shared" si="13"/>
        <v>0.29999999999999982</v>
      </c>
      <c r="L15" s="301"/>
      <c r="M15" s="20"/>
      <c r="N15" s="123"/>
      <c r="O15" s="188"/>
      <c r="W15" s="233"/>
      <c r="X15" s="229"/>
      <c r="Y15" s="229"/>
      <c r="Z15" s="229"/>
      <c r="AA15" s="230">
        <f t="shared" si="7"/>
        <v>0</v>
      </c>
      <c r="AB15" s="230">
        <f t="shared" si="8"/>
        <v>0</v>
      </c>
      <c r="AC15" s="230">
        <f t="shared" si="9"/>
        <v>0</v>
      </c>
      <c r="AD15" s="234">
        <f t="shared" si="10"/>
        <v>0</v>
      </c>
    </row>
    <row r="16" spans="1:30" ht="18.75" customHeight="1" thickBot="1" x14ac:dyDescent="0.3">
      <c r="A16" s="274"/>
      <c r="B16" s="275"/>
      <c r="C16" s="276"/>
      <c r="D16" s="277"/>
      <c r="E16" s="269"/>
      <c r="F16" s="269"/>
      <c r="G16" s="208"/>
      <c r="H16" s="208"/>
      <c r="I16" s="208"/>
      <c r="J16" s="124"/>
      <c r="K16" s="302"/>
      <c r="L16" s="302"/>
      <c r="M16" s="208"/>
      <c r="N16" s="209"/>
      <c r="O16" s="188"/>
      <c r="W16" s="235"/>
      <c r="X16" s="236"/>
      <c r="Y16" s="236"/>
      <c r="Z16" s="236"/>
      <c r="AA16" s="237">
        <f t="shared" si="7"/>
        <v>0</v>
      </c>
      <c r="AB16" s="237">
        <f t="shared" si="8"/>
        <v>0</v>
      </c>
      <c r="AC16" s="237">
        <f t="shared" si="9"/>
        <v>0</v>
      </c>
      <c r="AD16" s="238">
        <f t="shared" si="10"/>
        <v>0</v>
      </c>
    </row>
    <row r="17" spans="1:30" ht="15.75" thickBot="1" x14ac:dyDescent="0.3">
      <c r="A17" s="257"/>
      <c r="B17" s="257"/>
      <c r="C17" s="258"/>
      <c r="D17" s="259"/>
      <c r="E17" s="260"/>
      <c r="F17" s="261"/>
      <c r="G17" s="259"/>
      <c r="H17" s="261"/>
      <c r="I17" s="261"/>
      <c r="J17" s="262"/>
      <c r="K17" s="299"/>
      <c r="L17" s="299"/>
      <c r="M17" s="259"/>
      <c r="N17" s="263"/>
      <c r="O17" s="259"/>
      <c r="P17" s="264"/>
      <c r="Q17" s="264"/>
      <c r="W17" s="278" t="s">
        <v>303</v>
      </c>
      <c r="X17" s="279"/>
      <c r="Y17" s="279"/>
      <c r="Z17" s="280"/>
      <c r="AA17" s="239">
        <f>SUM(AA10:AA16)</f>
        <v>23.55</v>
      </c>
      <c r="AB17" s="239">
        <f>SUM(AB10:AB16)</f>
        <v>75.920000000000016</v>
      </c>
      <c r="AC17" s="239">
        <f>SUM(AC10:AC16)</f>
        <v>23.55</v>
      </c>
      <c r="AD17" s="240">
        <f>SUM(AD10:AD16)</f>
        <v>29.2</v>
      </c>
    </row>
    <row r="18" spans="1:30" ht="2.25" customHeight="1" x14ac:dyDescent="0.25">
      <c r="A18" s="265"/>
      <c r="B18" s="266"/>
      <c r="C18" s="267"/>
      <c r="D18" s="268"/>
      <c r="E18" s="269"/>
      <c r="F18" s="270"/>
      <c r="G18" s="208"/>
      <c r="H18" s="271"/>
      <c r="I18" s="271"/>
      <c r="J18" s="272"/>
      <c r="K18" s="272"/>
      <c r="L18" s="272"/>
      <c r="M18" s="272"/>
      <c r="N18" s="272"/>
      <c r="O18" s="208"/>
      <c r="P18" s="264"/>
      <c r="Q18" s="264"/>
    </row>
    <row r="19" spans="1:30" ht="15.75" thickBot="1" x14ac:dyDescent="0.3">
      <c r="A19" s="265"/>
      <c r="B19" s="273"/>
      <c r="C19" s="267"/>
      <c r="D19" s="268"/>
      <c r="E19" s="269"/>
      <c r="F19" s="270"/>
      <c r="G19" s="208"/>
      <c r="H19" s="271"/>
      <c r="I19" s="271"/>
      <c r="J19" s="124"/>
      <c r="K19" s="125"/>
      <c r="L19" s="125"/>
      <c r="M19" s="208"/>
      <c r="N19" s="209"/>
      <c r="O19" s="208"/>
      <c r="P19" s="264"/>
      <c r="Q19" s="264"/>
    </row>
    <row r="20" spans="1:30" ht="15.75" thickBot="1" x14ac:dyDescent="0.3">
      <c r="A20" s="177" t="s">
        <v>76</v>
      </c>
      <c r="B20" s="286"/>
      <c r="C20" s="286"/>
      <c r="D20" s="286"/>
      <c r="E20" s="286"/>
      <c r="F20" s="286"/>
      <c r="G20" s="286"/>
      <c r="H20" s="287"/>
      <c r="I20" s="33"/>
      <c r="J20" s="290" t="s">
        <v>285</v>
      </c>
      <c r="K20" s="291"/>
      <c r="L20" s="291"/>
      <c r="M20" s="291"/>
      <c r="N20" s="292"/>
      <c r="O20" s="20"/>
    </row>
    <row r="21" spans="1:30" ht="18.75" customHeight="1" x14ac:dyDescent="0.25">
      <c r="A21" s="178" t="s">
        <v>77</v>
      </c>
      <c r="B21" s="284" t="s">
        <v>83</v>
      </c>
      <c r="C21" s="284"/>
      <c r="D21" s="284"/>
      <c r="E21" s="284"/>
      <c r="F21" s="284"/>
      <c r="G21" s="284"/>
      <c r="H21" s="285"/>
      <c r="I21" s="76"/>
      <c r="J21" s="163"/>
      <c r="K21" s="164" t="s">
        <v>154</v>
      </c>
      <c r="L21" s="165">
        <v>0.23</v>
      </c>
      <c r="M21" s="203"/>
      <c r="N21" s="166"/>
      <c r="O21" s="20"/>
    </row>
    <row r="22" spans="1:30" ht="18.75" customHeight="1" x14ac:dyDescent="0.25">
      <c r="A22" s="178" t="s">
        <v>78</v>
      </c>
      <c r="B22" s="284" t="s">
        <v>82</v>
      </c>
      <c r="C22" s="284"/>
      <c r="D22" s="284"/>
      <c r="E22" s="284"/>
      <c r="F22" s="284"/>
      <c r="G22" s="284"/>
      <c r="H22" s="285"/>
      <c r="I22" s="76"/>
      <c r="J22" s="118"/>
      <c r="K22" s="80" t="s">
        <v>154</v>
      </c>
      <c r="L22" s="81">
        <v>0.06</v>
      </c>
      <c r="M22" s="169"/>
      <c r="N22" s="86"/>
      <c r="O22" s="20"/>
    </row>
    <row r="23" spans="1:30" ht="18.75" customHeight="1" thickBot="1" x14ac:dyDescent="0.3">
      <c r="A23" s="178" t="s">
        <v>79</v>
      </c>
      <c r="B23" s="284" t="s">
        <v>340</v>
      </c>
      <c r="C23" s="284"/>
      <c r="D23" s="284"/>
      <c r="E23" s="284"/>
      <c r="F23" s="284"/>
      <c r="G23" s="284"/>
      <c r="H23" s="285"/>
      <c r="I23" s="76"/>
      <c r="J23" s="293" t="s">
        <v>262</v>
      </c>
      <c r="K23" s="294"/>
      <c r="L23" s="294"/>
      <c r="M23" s="172">
        <f>M22+J22</f>
        <v>0</v>
      </c>
      <c r="N23" s="39"/>
      <c r="O23" s="20"/>
    </row>
    <row r="24" spans="1:30" ht="18.75" customHeight="1" thickBot="1" x14ac:dyDescent="0.3">
      <c r="A24" s="178" t="s">
        <v>80</v>
      </c>
      <c r="B24" s="284" t="s">
        <v>341</v>
      </c>
      <c r="C24" s="284"/>
      <c r="D24" s="284"/>
      <c r="E24" s="284"/>
      <c r="F24" s="284"/>
      <c r="G24" s="284"/>
      <c r="H24" s="285"/>
      <c r="I24" s="76"/>
      <c r="J24" s="290" t="s">
        <v>264</v>
      </c>
      <c r="K24" s="291"/>
      <c r="L24" s="291"/>
      <c r="M24" s="291"/>
      <c r="N24" s="292"/>
      <c r="O24" s="20"/>
    </row>
    <row r="25" spans="1:30" ht="18.75" customHeight="1" thickBot="1" x14ac:dyDescent="0.3">
      <c r="A25" s="179" t="s">
        <v>81</v>
      </c>
      <c r="B25" s="303" t="s">
        <v>342</v>
      </c>
      <c r="C25" s="303"/>
      <c r="D25" s="303"/>
      <c r="E25" s="303"/>
      <c r="F25" s="303"/>
      <c r="G25" s="303"/>
      <c r="H25" s="304"/>
      <c r="I25" s="76"/>
      <c r="J25" s="204" t="s">
        <v>265</v>
      </c>
      <c r="K25" s="205">
        <v>0.5</v>
      </c>
      <c r="L25" s="206"/>
      <c r="M25" s="207">
        <f>K25*H28</f>
        <v>985.52999999999975</v>
      </c>
      <c r="N25" s="40"/>
      <c r="O25" s="20"/>
    </row>
    <row r="26" spans="1:30" ht="18.75" customHeight="1" thickBot="1" x14ac:dyDescent="0.3">
      <c r="A26" s="151"/>
      <c r="B26" s="127"/>
      <c r="C26" s="127"/>
      <c r="D26" s="127"/>
      <c r="E26" s="127"/>
      <c r="F26" s="127"/>
      <c r="G26" s="127"/>
      <c r="H26" s="127"/>
      <c r="I26" s="76"/>
      <c r="J26" s="126" t="s">
        <v>266</v>
      </c>
      <c r="K26" s="170">
        <v>0.5</v>
      </c>
      <c r="L26" s="76"/>
      <c r="M26" s="168">
        <f>K26*H28</f>
        <v>985.52999999999975</v>
      </c>
      <c r="N26" s="38"/>
      <c r="O26" s="20"/>
    </row>
    <row r="27" spans="1:30" ht="18.75" customHeight="1" thickBot="1" x14ac:dyDescent="0.3">
      <c r="A27" s="295"/>
      <c r="B27" s="296"/>
      <c r="C27" s="296"/>
      <c r="D27" s="296"/>
      <c r="E27" s="296"/>
      <c r="F27" s="152" t="s">
        <v>33</v>
      </c>
      <c r="G27" s="14"/>
      <c r="H27" s="153" t="s">
        <v>263</v>
      </c>
      <c r="I27" s="76"/>
      <c r="J27" s="167" t="s">
        <v>267</v>
      </c>
      <c r="K27" s="171">
        <v>0</v>
      </c>
      <c r="L27" s="77"/>
      <c r="M27" s="172">
        <f>K27*H28</f>
        <v>0</v>
      </c>
      <c r="N27" s="39"/>
      <c r="O27" s="20"/>
    </row>
    <row r="28" spans="1:30" ht="17.25" customHeight="1" thickBot="1" x14ac:dyDescent="0.3">
      <c r="A28" s="297"/>
      <c r="B28" s="298"/>
      <c r="C28" s="298"/>
      <c r="D28" s="298"/>
      <c r="E28" s="298"/>
      <c r="F28" s="15">
        <f>F17+F12+F8</f>
        <v>1516.2</v>
      </c>
      <c r="G28" s="16"/>
      <c r="H28" s="78">
        <f>SUM(H17,H12,H8)</f>
        <v>1971.0599999999995</v>
      </c>
      <c r="I28" s="17"/>
      <c r="J28" s="17"/>
      <c r="K28" s="17"/>
      <c r="L28" s="17"/>
      <c r="M28" s="17"/>
      <c r="N28" s="22"/>
      <c r="O28" s="17"/>
    </row>
    <row r="29" spans="1:30" ht="17.25" customHeight="1" x14ac:dyDescent="0.25">
      <c r="I29" s="74"/>
      <c r="J29" s="154" t="s">
        <v>34</v>
      </c>
      <c r="K29" s="155"/>
      <c r="L29" s="156"/>
      <c r="M29" s="157"/>
      <c r="N29" s="158"/>
      <c r="O29" s="20"/>
    </row>
    <row r="30" spans="1:30" ht="21" customHeight="1" thickBot="1" x14ac:dyDescent="0.3">
      <c r="I30" s="75"/>
      <c r="J30" s="159">
        <f>SUM(J17,J12,J8)</f>
        <v>454.85999999999973</v>
      </c>
      <c r="K30" s="160"/>
      <c r="L30" s="160"/>
      <c r="M30" s="161"/>
      <c r="N30" s="162"/>
      <c r="O30" s="7"/>
    </row>
    <row r="31" spans="1:30" ht="21" customHeight="1" x14ac:dyDescent="0.25">
      <c r="A31" s="3"/>
      <c r="B31" s="4"/>
      <c r="C31" s="5"/>
      <c r="D31" s="3"/>
      <c r="E31" s="6"/>
      <c r="F31" s="6"/>
      <c r="G31" s="7"/>
      <c r="H31" s="7"/>
      <c r="I31" s="7"/>
      <c r="J31" s="7"/>
      <c r="K31" s="7"/>
      <c r="L31" s="7"/>
      <c r="M31" s="7"/>
      <c r="N31" s="21"/>
      <c r="O31" s="7"/>
    </row>
    <row r="32" spans="1:30" ht="21" customHeight="1" x14ac:dyDescent="0.25">
      <c r="A32" s="18"/>
      <c r="B32" s="19"/>
      <c r="C32" s="5"/>
      <c r="D32" s="3"/>
      <c r="E32" s="6"/>
      <c r="F32" s="6"/>
      <c r="G32" s="7"/>
      <c r="H32" s="7"/>
      <c r="I32" s="7"/>
      <c r="J32" s="7"/>
      <c r="K32" s="7"/>
      <c r="L32" s="7"/>
      <c r="M32" s="7"/>
      <c r="N32" s="21"/>
      <c r="O32" s="7"/>
    </row>
    <row r="33" spans="1:15" ht="21" customHeight="1" x14ac:dyDescent="0.25">
      <c r="A33" s="3"/>
      <c r="B33" s="19"/>
      <c r="C33" s="5"/>
      <c r="D33" s="3"/>
      <c r="E33" s="6"/>
      <c r="F33" s="6"/>
      <c r="G33" s="7"/>
      <c r="H33" s="7"/>
      <c r="I33" s="7"/>
      <c r="J33" s="7"/>
      <c r="K33" s="7"/>
      <c r="L33" s="7"/>
      <c r="M33" s="7"/>
      <c r="N33" s="21"/>
      <c r="O33" s="7"/>
    </row>
    <row r="34" spans="1:15" x14ac:dyDescent="0.25">
      <c r="A34" s="8"/>
      <c r="B34" s="19"/>
      <c r="E34" s="10"/>
    </row>
    <row r="35" spans="1:15" x14ac:dyDescent="0.25">
      <c r="A35" s="8"/>
      <c r="B35" s="12"/>
      <c r="C35" s="1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37"/>
      <c r="O35" s="12"/>
    </row>
    <row r="36" spans="1:15" x14ac:dyDescent="0.25">
      <c r="B36" s="12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7"/>
      <c r="O36" s="12"/>
    </row>
    <row r="37" spans="1:15" x14ac:dyDescent="0.25"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37"/>
      <c r="O37" s="12"/>
    </row>
  </sheetData>
  <mergeCells count="26">
    <mergeCell ref="A27:E28"/>
    <mergeCell ref="K17:L17"/>
    <mergeCell ref="K12:L12"/>
    <mergeCell ref="K13:L13"/>
    <mergeCell ref="K14:L14"/>
    <mergeCell ref="K15:L15"/>
    <mergeCell ref="K16:L16"/>
    <mergeCell ref="B21:H21"/>
    <mergeCell ref="B22:H22"/>
    <mergeCell ref="B23:H23"/>
    <mergeCell ref="B25:H25"/>
    <mergeCell ref="W17:Z17"/>
    <mergeCell ref="W8:AD8"/>
    <mergeCell ref="B24:H24"/>
    <mergeCell ref="B20:H20"/>
    <mergeCell ref="J1:N1"/>
    <mergeCell ref="J2:N2"/>
    <mergeCell ref="J3:N4"/>
    <mergeCell ref="J24:N24"/>
    <mergeCell ref="J23:L23"/>
    <mergeCell ref="J20:N20"/>
    <mergeCell ref="K7:L7"/>
    <mergeCell ref="K8:L8"/>
    <mergeCell ref="K9:L9"/>
    <mergeCell ref="K10:L10"/>
    <mergeCell ref="K11:L11"/>
  </mergeCells>
  <phoneticPr fontId="3" type="noConversion"/>
  <printOptions horizontalCentered="1"/>
  <pageMargins left="0.23622047244094491" right="0.23622047244094491" top="0.39370078740157483" bottom="0.70866141732283472" header="0.31496062992125984" footer="0.31496062992125984"/>
  <pageSetup paperSize="9" scale="76" fitToHeight="0" orientation="portrait" r:id="rId1"/>
  <headerFooter>
    <oddFooter>&amp;L&amp;12&amp;D&amp;C&amp;12&amp;P&amp;R&amp;G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2BE2-551F-401D-95DB-B703B459B90D}">
  <dimension ref="B2:N177"/>
  <sheetViews>
    <sheetView zoomScaleNormal="100" workbookViewId="0">
      <selection activeCell="I147" sqref="I147"/>
    </sheetView>
  </sheetViews>
  <sheetFormatPr defaultColWidth="9.140625" defaultRowHeight="15" x14ac:dyDescent="0.25"/>
  <cols>
    <col min="1" max="1" width="3.42578125" style="191" customWidth="1"/>
    <col min="2" max="2" width="50.7109375" style="191" customWidth="1"/>
    <col min="3" max="3" width="48.42578125" style="191" customWidth="1"/>
    <col min="4" max="4" width="9.140625" style="191"/>
    <col min="5" max="6" width="13.140625" style="191" customWidth="1"/>
    <col min="7" max="7" width="14" style="191" customWidth="1"/>
    <col min="8" max="8" width="15" style="191" customWidth="1"/>
    <col min="9" max="9" width="12.42578125" style="191" customWidth="1"/>
    <col min="10" max="10" width="14.28515625" style="191" customWidth="1"/>
    <col min="11" max="11" width="12.28515625" style="191" customWidth="1"/>
    <col min="12" max="12" width="13.42578125" style="191" customWidth="1"/>
    <col min="13" max="13" width="12.140625" style="191" customWidth="1"/>
    <col min="14" max="14" width="85.85546875" style="194" customWidth="1"/>
    <col min="15" max="16384" width="9.140625" style="191"/>
  </cols>
  <sheetData>
    <row r="2" spans="2:14" x14ac:dyDescent="0.25">
      <c r="B2" s="327" t="s">
        <v>0</v>
      </c>
      <c r="C2" s="327" t="s">
        <v>19</v>
      </c>
      <c r="D2" s="327" t="s">
        <v>14</v>
      </c>
      <c r="E2" s="329" t="s">
        <v>1</v>
      </c>
      <c r="F2" s="330"/>
      <c r="G2" s="319" t="s">
        <v>20</v>
      </c>
      <c r="H2" s="319" t="s">
        <v>21</v>
      </c>
      <c r="I2" s="321" t="s">
        <v>96</v>
      </c>
      <c r="J2" s="322"/>
      <c r="K2" s="323" t="s">
        <v>84</v>
      </c>
      <c r="L2" s="325" t="s">
        <v>85</v>
      </c>
      <c r="M2" s="326"/>
      <c r="N2" s="319" t="s">
        <v>28</v>
      </c>
    </row>
    <row r="3" spans="2:14" x14ac:dyDescent="0.25">
      <c r="B3" s="328"/>
      <c r="C3" s="328"/>
      <c r="D3" s="328"/>
      <c r="E3" s="59" t="s">
        <v>104</v>
      </c>
      <c r="F3" s="45" t="s">
        <v>103</v>
      </c>
      <c r="G3" s="320"/>
      <c r="H3" s="320"/>
      <c r="I3" s="91" t="s">
        <v>100</v>
      </c>
      <c r="J3" s="92" t="s">
        <v>99</v>
      </c>
      <c r="K3" s="324"/>
      <c r="L3" s="47" t="s">
        <v>101</v>
      </c>
      <c r="M3" s="61" t="s">
        <v>283</v>
      </c>
      <c r="N3" s="320"/>
    </row>
    <row r="4" spans="2:14" x14ac:dyDescent="0.25">
      <c r="B4" s="307" t="str">
        <f>MQT!B9</f>
        <v>Solução para tetos interiores, constituída por estrutura com perfis metálicos horizontais F530 afastados a cada 500 mm, suspensos por elementos verticais fixados ao teto, nos quais é fixada 1 camada de placas Gyptec BA13A (STANDARD). Massas, bandas para juntas e acessórios de fixação. Superfícies prontas para acabamento final de pintura ou decoração</v>
      </c>
      <c r="C4" s="310" t="s">
        <v>153</v>
      </c>
      <c r="D4" s="311"/>
      <c r="E4" s="311"/>
      <c r="F4" s="311"/>
      <c r="G4" s="311"/>
      <c r="H4" s="195">
        <f>SUM(H5:H6)</f>
        <v>216</v>
      </c>
      <c r="I4" s="196"/>
      <c r="J4" s="196"/>
      <c r="K4" s="312">
        <f>((E5+E6)/2)/8</f>
        <v>1</v>
      </c>
      <c r="L4" s="53"/>
      <c r="M4" s="54"/>
      <c r="N4" s="193"/>
    </row>
    <row r="5" spans="2:14" ht="15" customHeight="1" x14ac:dyDescent="0.25">
      <c r="B5" s="308"/>
      <c r="C5" s="48" t="s">
        <v>26</v>
      </c>
      <c r="D5" s="49" t="s">
        <v>92</v>
      </c>
      <c r="E5" s="49">
        <v>8</v>
      </c>
      <c r="F5" s="49">
        <v>1</v>
      </c>
      <c r="G5" s="50">
        <v>15</v>
      </c>
      <c r="H5" s="51">
        <f>G5*E5*F5</f>
        <v>120</v>
      </c>
      <c r="I5" s="52"/>
      <c r="J5" s="52"/>
      <c r="K5" s="313"/>
      <c r="L5" s="53"/>
      <c r="N5" s="193"/>
    </row>
    <row r="6" spans="2:14" x14ac:dyDescent="0.25">
      <c r="B6" s="308"/>
      <c r="C6" s="48" t="s">
        <v>27</v>
      </c>
      <c r="D6" s="49" t="s">
        <v>92</v>
      </c>
      <c r="E6" s="49">
        <v>8</v>
      </c>
      <c r="F6" s="49">
        <v>1</v>
      </c>
      <c r="G6" s="50">
        <v>12</v>
      </c>
      <c r="H6" s="51">
        <f t="shared" ref="H6:H21" si="0">G6*E6*F6</f>
        <v>96</v>
      </c>
      <c r="I6" s="52"/>
      <c r="J6" s="52"/>
      <c r="K6" s="313"/>
      <c r="L6" s="44"/>
      <c r="M6" s="60"/>
      <c r="N6" s="193"/>
    </row>
    <row r="7" spans="2:14" x14ac:dyDescent="0.25">
      <c r="B7" s="308"/>
      <c r="C7" s="310" t="s">
        <v>155</v>
      </c>
      <c r="D7" s="311"/>
      <c r="E7" s="311"/>
      <c r="F7" s="311"/>
      <c r="G7" s="311"/>
      <c r="H7" s="195">
        <f>SUM(H8:H10)</f>
        <v>125</v>
      </c>
      <c r="I7" s="196"/>
      <c r="J7" s="196"/>
      <c r="K7" s="313"/>
      <c r="L7" s="44"/>
      <c r="M7" s="60"/>
      <c r="N7" s="193"/>
    </row>
    <row r="8" spans="2:14" x14ac:dyDescent="0.25">
      <c r="B8" s="308"/>
      <c r="C8" s="48" t="s">
        <v>336</v>
      </c>
      <c r="D8" s="49" t="s">
        <v>88</v>
      </c>
      <c r="E8" s="49">
        <v>1</v>
      </c>
      <c r="F8" s="49">
        <v>1</v>
      </c>
      <c r="G8" s="50">
        <v>125</v>
      </c>
      <c r="H8" s="51">
        <f t="shared" si="0"/>
        <v>125</v>
      </c>
      <c r="I8" s="52"/>
      <c r="J8" s="52"/>
      <c r="K8" s="313"/>
      <c r="L8" s="53"/>
      <c r="M8" s="54"/>
      <c r="N8" s="193"/>
    </row>
    <row r="9" spans="2:14" x14ac:dyDescent="0.25">
      <c r="B9" s="308"/>
      <c r="C9" s="48"/>
      <c r="D9" s="49"/>
      <c r="E9" s="49"/>
      <c r="F9" s="49"/>
      <c r="G9" s="50"/>
      <c r="H9" s="51">
        <f t="shared" si="0"/>
        <v>0</v>
      </c>
      <c r="I9" s="52"/>
      <c r="J9" s="52"/>
      <c r="K9" s="313"/>
      <c r="L9" s="53"/>
      <c r="M9" s="54"/>
      <c r="N9" s="193"/>
    </row>
    <row r="10" spans="2:14" x14ac:dyDescent="0.25">
      <c r="B10" s="308"/>
      <c r="C10" s="48"/>
      <c r="D10" s="49"/>
      <c r="E10" s="49"/>
      <c r="F10" s="49"/>
      <c r="G10" s="50"/>
      <c r="H10" s="51">
        <f t="shared" ref="H10" si="1">G10*E10*F10</f>
        <v>0</v>
      </c>
      <c r="I10" s="52"/>
      <c r="J10" s="52"/>
      <c r="K10" s="313"/>
      <c r="L10" s="53"/>
      <c r="M10" s="54"/>
      <c r="N10" s="193"/>
    </row>
    <row r="11" spans="2:14" x14ac:dyDescent="0.25">
      <c r="B11" s="308"/>
      <c r="C11" s="310" t="s">
        <v>280</v>
      </c>
      <c r="D11" s="311"/>
      <c r="E11" s="311"/>
      <c r="F11" s="311"/>
      <c r="G11" s="311"/>
      <c r="H11" s="195">
        <f>SUM(H12:H14)</f>
        <v>0</v>
      </c>
      <c r="I11" s="196"/>
      <c r="J11" s="196"/>
      <c r="K11" s="313"/>
      <c r="L11" s="53"/>
      <c r="M11" s="54"/>
      <c r="N11" s="193"/>
    </row>
    <row r="12" spans="2:14" x14ac:dyDescent="0.25">
      <c r="B12" s="308"/>
      <c r="C12" s="48" t="s">
        <v>337</v>
      </c>
      <c r="D12" s="49" t="s">
        <v>102</v>
      </c>
      <c r="E12" s="49">
        <v>1</v>
      </c>
      <c r="F12" s="49">
        <v>0</v>
      </c>
      <c r="G12" s="50">
        <v>25</v>
      </c>
      <c r="H12" s="51">
        <f t="shared" ref="H12:H13" si="2">G12*E12*F12</f>
        <v>0</v>
      </c>
      <c r="I12" s="52"/>
      <c r="J12" s="52"/>
      <c r="K12" s="313"/>
      <c r="L12" s="53"/>
      <c r="M12" s="54"/>
      <c r="N12" s="193"/>
    </row>
    <row r="13" spans="2:14" x14ac:dyDescent="0.25">
      <c r="B13" s="308"/>
      <c r="C13" s="48" t="s">
        <v>90</v>
      </c>
      <c r="D13" s="49" t="s">
        <v>282</v>
      </c>
      <c r="E13" s="49">
        <v>1</v>
      </c>
      <c r="F13" s="49">
        <v>0</v>
      </c>
      <c r="G13" s="50">
        <v>4</v>
      </c>
      <c r="H13" s="51">
        <f t="shared" si="2"/>
        <v>0</v>
      </c>
      <c r="I13" s="52"/>
      <c r="J13" s="52"/>
      <c r="K13" s="313"/>
      <c r="L13" s="53"/>
      <c r="M13" s="54"/>
      <c r="N13" s="193"/>
    </row>
    <row r="14" spans="2:14" x14ac:dyDescent="0.25">
      <c r="B14" s="308"/>
      <c r="C14" s="48"/>
      <c r="D14" s="49"/>
      <c r="E14" s="49"/>
      <c r="F14" s="49"/>
      <c r="G14" s="50"/>
      <c r="H14" s="51"/>
      <c r="I14" s="52"/>
      <c r="J14" s="52"/>
      <c r="K14" s="313"/>
      <c r="L14" s="53"/>
      <c r="M14" s="54"/>
      <c r="N14" s="193"/>
    </row>
    <row r="15" spans="2:14" x14ac:dyDescent="0.25">
      <c r="B15" s="308"/>
      <c r="C15" s="310" t="s">
        <v>85</v>
      </c>
      <c r="D15" s="311"/>
      <c r="E15" s="311"/>
      <c r="F15" s="311"/>
      <c r="G15" s="311"/>
      <c r="H15" s="195">
        <f>SUM(H16:H17)</f>
        <v>11</v>
      </c>
      <c r="I15" s="196"/>
      <c r="J15" s="196"/>
      <c r="K15" s="313"/>
      <c r="L15" s="197" t="s">
        <v>284</v>
      </c>
      <c r="M15" s="198">
        <f>2*5*0.02*1.1</f>
        <v>0.22000000000000003</v>
      </c>
      <c r="N15" s="193"/>
    </row>
    <row r="16" spans="2:14" x14ac:dyDescent="0.25">
      <c r="B16" s="308"/>
      <c r="C16" s="48" t="s">
        <v>85</v>
      </c>
      <c r="D16" s="49" t="s">
        <v>94</v>
      </c>
      <c r="E16" s="49">
        <f>ROUNDUP((SUM(M4:M23)/300),0)</f>
        <v>1</v>
      </c>
      <c r="F16" s="49">
        <v>1</v>
      </c>
      <c r="G16" s="50">
        <v>5</v>
      </c>
      <c r="H16" s="51">
        <f t="shared" si="0"/>
        <v>5</v>
      </c>
      <c r="I16" s="52"/>
      <c r="J16" s="52"/>
      <c r="K16" s="313"/>
      <c r="L16" s="53"/>
      <c r="M16" s="54"/>
      <c r="N16" s="193"/>
    </row>
    <row r="17" spans="2:14" x14ac:dyDescent="0.25">
      <c r="B17" s="308"/>
      <c r="C17" s="48" t="s">
        <v>91</v>
      </c>
      <c r="D17" s="49" t="s">
        <v>92</v>
      </c>
      <c r="E17" s="49">
        <v>1</v>
      </c>
      <c r="F17" s="49">
        <v>0.5</v>
      </c>
      <c r="G17" s="50">
        <v>12</v>
      </c>
      <c r="H17" s="51">
        <f t="shared" ref="H17" si="3">G17*E17*F17</f>
        <v>6</v>
      </c>
      <c r="I17" s="52"/>
      <c r="J17" s="52"/>
      <c r="K17" s="313"/>
      <c r="L17" s="53"/>
      <c r="M17" s="54"/>
      <c r="N17" s="193"/>
    </row>
    <row r="18" spans="2:14" x14ac:dyDescent="0.25">
      <c r="B18" s="308"/>
      <c r="C18" s="310" t="s">
        <v>157</v>
      </c>
      <c r="D18" s="311"/>
      <c r="E18" s="311"/>
      <c r="F18" s="311"/>
      <c r="G18" s="311"/>
      <c r="H18" s="195">
        <f>SUM(H19)</f>
        <v>20</v>
      </c>
      <c r="I18" s="196"/>
      <c r="J18" s="196"/>
      <c r="K18" s="313"/>
      <c r="L18" s="53"/>
      <c r="M18" s="54"/>
      <c r="N18" s="193"/>
    </row>
    <row r="19" spans="2:14" x14ac:dyDescent="0.25">
      <c r="B19" s="308"/>
      <c r="C19" s="48" t="s">
        <v>29</v>
      </c>
      <c r="D19" s="49" t="s">
        <v>102</v>
      </c>
      <c r="E19" s="49">
        <v>1</v>
      </c>
      <c r="F19" s="49">
        <v>1</v>
      </c>
      <c r="G19" s="50">
        <f>(20*E5)/8</f>
        <v>20</v>
      </c>
      <c r="H19" s="51">
        <f t="shared" si="0"/>
        <v>20</v>
      </c>
      <c r="I19" s="52"/>
      <c r="J19" s="52"/>
      <c r="K19" s="313"/>
      <c r="L19" s="53"/>
      <c r="M19" s="54"/>
      <c r="N19" s="193"/>
    </row>
    <row r="20" spans="2:14" x14ac:dyDescent="0.25">
      <c r="B20" s="308"/>
      <c r="C20" s="310" t="s">
        <v>281</v>
      </c>
      <c r="D20" s="311"/>
      <c r="E20" s="311"/>
      <c r="F20" s="311"/>
      <c r="G20" s="311"/>
      <c r="H20" s="195">
        <f>SUM(H21)</f>
        <v>10</v>
      </c>
      <c r="I20" s="196"/>
      <c r="J20" s="196"/>
      <c r="K20" s="313"/>
      <c r="L20" s="53"/>
      <c r="M20" s="54"/>
      <c r="N20" s="193"/>
    </row>
    <row r="21" spans="2:14" x14ac:dyDescent="0.25">
      <c r="B21" s="308"/>
      <c r="C21" s="48" t="s">
        <v>22</v>
      </c>
      <c r="D21" s="49" t="s">
        <v>94</v>
      </c>
      <c r="E21" s="49">
        <v>1</v>
      </c>
      <c r="F21" s="49">
        <v>1</v>
      </c>
      <c r="G21" s="50">
        <v>10</v>
      </c>
      <c r="H21" s="51">
        <f t="shared" si="0"/>
        <v>10</v>
      </c>
      <c r="I21" s="52"/>
      <c r="J21" s="52"/>
      <c r="K21" s="313"/>
      <c r="L21" s="53"/>
      <c r="M21" s="54"/>
      <c r="N21" s="193"/>
    </row>
    <row r="22" spans="2:14" x14ac:dyDescent="0.25">
      <c r="B22" s="308"/>
      <c r="C22" s="315" t="s">
        <v>25</v>
      </c>
      <c r="D22" s="315"/>
      <c r="E22" s="315"/>
      <c r="F22" s="315"/>
      <c r="G22" s="315"/>
      <c r="H22" s="55">
        <f>SUM(H4,H7,H11,H15,H18,H20)</f>
        <v>382</v>
      </c>
      <c r="I22" s="52"/>
      <c r="J22" s="52"/>
      <c r="K22" s="313"/>
      <c r="L22" s="53"/>
      <c r="M22" s="54"/>
      <c r="N22" s="193"/>
    </row>
    <row r="23" spans="2:14" x14ac:dyDescent="0.25">
      <c r="B23" s="309"/>
      <c r="C23" s="316" t="s">
        <v>24</v>
      </c>
      <c r="D23" s="317"/>
      <c r="E23" s="317"/>
      <c r="F23" s="318"/>
      <c r="G23" s="56">
        <f>MQT!AA10</f>
        <v>12</v>
      </c>
      <c r="H23" s="55">
        <f>ROUNDUP((H22/G23),0)</f>
        <v>32</v>
      </c>
      <c r="I23" s="52"/>
      <c r="J23" s="52"/>
      <c r="K23" s="314"/>
      <c r="L23" s="57"/>
      <c r="M23" s="58"/>
      <c r="N23" s="193"/>
    </row>
    <row r="25" spans="2:14" x14ac:dyDescent="0.25">
      <c r="B25" s="327" t="s">
        <v>0</v>
      </c>
      <c r="C25" s="327" t="s">
        <v>19</v>
      </c>
      <c r="D25" s="327" t="s">
        <v>14</v>
      </c>
      <c r="E25" s="329" t="s">
        <v>1</v>
      </c>
      <c r="F25" s="330"/>
      <c r="G25" s="319" t="s">
        <v>20</v>
      </c>
      <c r="H25" s="319" t="s">
        <v>21</v>
      </c>
      <c r="I25" s="321" t="s">
        <v>96</v>
      </c>
      <c r="J25" s="322"/>
      <c r="K25" s="323" t="s">
        <v>84</v>
      </c>
      <c r="L25" s="325" t="s">
        <v>85</v>
      </c>
      <c r="M25" s="326"/>
      <c r="N25" s="319" t="s">
        <v>28</v>
      </c>
    </row>
    <row r="26" spans="2:14" x14ac:dyDescent="0.25">
      <c r="B26" s="328"/>
      <c r="C26" s="328"/>
      <c r="D26" s="328"/>
      <c r="E26" s="59" t="s">
        <v>104</v>
      </c>
      <c r="F26" s="45" t="s">
        <v>103</v>
      </c>
      <c r="G26" s="320"/>
      <c r="H26" s="320"/>
      <c r="I26" s="91" t="s">
        <v>100</v>
      </c>
      <c r="J26" s="92" t="s">
        <v>99</v>
      </c>
      <c r="K26" s="324"/>
      <c r="L26" s="47" t="s">
        <v>101</v>
      </c>
      <c r="M26" s="61" t="s">
        <v>283</v>
      </c>
      <c r="N26" s="320"/>
    </row>
    <row r="27" spans="2:14" x14ac:dyDescent="0.25">
      <c r="B27" s="307" t="str">
        <f>MQT!B10</f>
        <v>Execução de esquema de pintura em teto com Tinta Robbialac 2 em 1 branco, aplicado em 2 demão. Inclui proteção de rodapé, caixilharias, guarnições de portas, utilizando fita multisuperficies, e manga plástica para pavimento</v>
      </c>
      <c r="C27" s="310" t="s">
        <v>153</v>
      </c>
      <c r="D27" s="311"/>
      <c r="E27" s="311"/>
      <c r="F27" s="311"/>
      <c r="G27" s="311"/>
      <c r="H27" s="195">
        <f>SUM(H28:H29)</f>
        <v>108</v>
      </c>
      <c r="I27" s="196"/>
      <c r="J27" s="196"/>
      <c r="K27" s="312">
        <f>((E28+E29)/2)/8</f>
        <v>0.5</v>
      </c>
      <c r="L27" s="53"/>
      <c r="M27" s="54"/>
      <c r="N27" s="193"/>
    </row>
    <row r="28" spans="2:14" x14ac:dyDescent="0.25">
      <c r="B28" s="308"/>
      <c r="C28" s="48" t="s">
        <v>26</v>
      </c>
      <c r="D28" s="49" t="s">
        <v>92</v>
      </c>
      <c r="E28" s="49">
        <v>4</v>
      </c>
      <c r="F28" s="49">
        <v>1</v>
      </c>
      <c r="G28" s="50">
        <v>15</v>
      </c>
      <c r="H28" s="51">
        <f>G28*E28*F28</f>
        <v>60</v>
      </c>
      <c r="I28" s="52"/>
      <c r="J28" s="52"/>
      <c r="K28" s="313"/>
      <c r="L28" s="53"/>
      <c r="N28" s="193"/>
    </row>
    <row r="29" spans="2:14" x14ac:dyDescent="0.25">
      <c r="B29" s="308"/>
      <c r="C29" s="48" t="s">
        <v>27</v>
      </c>
      <c r="D29" s="49" t="s">
        <v>92</v>
      </c>
      <c r="E29" s="49">
        <v>4</v>
      </c>
      <c r="F29" s="49">
        <v>1</v>
      </c>
      <c r="G29" s="50">
        <v>12</v>
      </c>
      <c r="H29" s="51">
        <f t="shared" ref="H29" si="4">G29*E29*F29</f>
        <v>48</v>
      </c>
      <c r="I29" s="52"/>
      <c r="J29" s="52"/>
      <c r="K29" s="313"/>
      <c r="L29" s="44"/>
      <c r="M29" s="60"/>
      <c r="N29" s="193"/>
    </row>
    <row r="30" spans="2:14" x14ac:dyDescent="0.25">
      <c r="B30" s="308"/>
      <c r="C30" s="310" t="s">
        <v>155</v>
      </c>
      <c r="D30" s="311"/>
      <c r="E30" s="311"/>
      <c r="F30" s="311"/>
      <c r="G30" s="311"/>
      <c r="H30" s="195">
        <f>SUM(H31:H33)</f>
        <v>49.5</v>
      </c>
      <c r="I30" s="196"/>
      <c r="J30" s="196"/>
      <c r="K30" s="313"/>
      <c r="L30" s="44"/>
      <c r="M30" s="60"/>
      <c r="N30" s="193"/>
    </row>
    <row r="31" spans="2:14" ht="30" x14ac:dyDescent="0.25">
      <c r="B31" s="308"/>
      <c r="C31" s="48" t="s">
        <v>333</v>
      </c>
      <c r="D31" s="49" t="s">
        <v>88</v>
      </c>
      <c r="E31" s="49">
        <v>1</v>
      </c>
      <c r="F31" s="49">
        <v>1</v>
      </c>
      <c r="G31" s="50">
        <f>99/2</f>
        <v>49.5</v>
      </c>
      <c r="H31" s="51">
        <f t="shared" ref="H31:H33" si="5">G31*E31*F31</f>
        <v>49.5</v>
      </c>
      <c r="I31" s="52"/>
      <c r="J31" s="52"/>
      <c r="K31" s="313"/>
      <c r="L31" s="53"/>
      <c r="M31" s="54"/>
      <c r="N31" s="193"/>
    </row>
    <row r="32" spans="2:14" x14ac:dyDescent="0.25">
      <c r="B32" s="308"/>
      <c r="C32" s="48"/>
      <c r="D32" s="49"/>
      <c r="E32" s="49"/>
      <c r="F32" s="49"/>
      <c r="G32" s="50"/>
      <c r="H32" s="51">
        <f t="shared" si="5"/>
        <v>0</v>
      </c>
      <c r="I32" s="52"/>
      <c r="J32" s="52"/>
      <c r="K32" s="313"/>
      <c r="L32" s="53"/>
      <c r="M32" s="54"/>
      <c r="N32" s="193"/>
    </row>
    <row r="33" spans="2:14" x14ac:dyDescent="0.25">
      <c r="B33" s="308"/>
      <c r="C33" s="48"/>
      <c r="D33" s="49"/>
      <c r="E33" s="49"/>
      <c r="F33" s="49"/>
      <c r="G33" s="50"/>
      <c r="H33" s="51">
        <f t="shared" si="5"/>
        <v>0</v>
      </c>
      <c r="I33" s="52"/>
      <c r="J33" s="52"/>
      <c r="K33" s="313"/>
      <c r="L33" s="53"/>
      <c r="M33" s="54"/>
      <c r="N33" s="193"/>
    </row>
    <row r="34" spans="2:14" x14ac:dyDescent="0.25">
      <c r="B34" s="308"/>
      <c r="C34" s="310" t="s">
        <v>280</v>
      </c>
      <c r="D34" s="311"/>
      <c r="E34" s="311"/>
      <c r="F34" s="311"/>
      <c r="G34" s="311"/>
      <c r="H34" s="195">
        <f>SUM(H35:H37)</f>
        <v>0</v>
      </c>
      <c r="I34" s="196"/>
      <c r="J34" s="196"/>
      <c r="K34" s="313"/>
      <c r="L34" s="53"/>
      <c r="M34" s="54"/>
      <c r="N34" s="193"/>
    </row>
    <row r="35" spans="2:14" x14ac:dyDescent="0.25">
      <c r="B35" s="308"/>
      <c r="C35" s="48" t="s">
        <v>89</v>
      </c>
      <c r="D35" s="49" t="s">
        <v>102</v>
      </c>
      <c r="E35" s="49">
        <v>1</v>
      </c>
      <c r="F35" s="49">
        <v>0</v>
      </c>
      <c r="G35" s="50">
        <v>25</v>
      </c>
      <c r="H35" s="51">
        <f t="shared" ref="H35:H36" si="6">G35*E35*F35</f>
        <v>0</v>
      </c>
      <c r="I35" s="52"/>
      <c r="J35" s="52"/>
      <c r="K35" s="313"/>
      <c r="L35" s="53"/>
      <c r="M35" s="54"/>
      <c r="N35" s="193"/>
    </row>
    <row r="36" spans="2:14" x14ac:dyDescent="0.25">
      <c r="B36" s="308"/>
      <c r="C36" s="48" t="s">
        <v>90</v>
      </c>
      <c r="D36" s="49" t="s">
        <v>282</v>
      </c>
      <c r="E36" s="49">
        <v>1</v>
      </c>
      <c r="F36" s="49">
        <v>0</v>
      </c>
      <c r="G36" s="50">
        <v>4</v>
      </c>
      <c r="H36" s="51">
        <f t="shared" si="6"/>
        <v>0</v>
      </c>
      <c r="I36" s="52"/>
      <c r="J36" s="52"/>
      <c r="K36" s="313"/>
      <c r="L36" s="53"/>
      <c r="M36" s="54"/>
      <c r="N36" s="193"/>
    </row>
    <row r="37" spans="2:14" x14ac:dyDescent="0.25">
      <c r="B37" s="308"/>
      <c r="C37" s="48"/>
      <c r="D37" s="49"/>
      <c r="E37" s="49"/>
      <c r="F37" s="49"/>
      <c r="G37" s="50"/>
      <c r="H37" s="51"/>
      <c r="I37" s="52"/>
      <c r="J37" s="52"/>
      <c r="K37" s="313"/>
      <c r="L37" s="53"/>
      <c r="M37" s="54"/>
      <c r="N37" s="193"/>
    </row>
    <row r="38" spans="2:14" x14ac:dyDescent="0.25">
      <c r="B38" s="308"/>
      <c r="C38" s="310" t="s">
        <v>85</v>
      </c>
      <c r="D38" s="311"/>
      <c r="E38" s="311"/>
      <c r="F38" s="311"/>
      <c r="G38" s="311"/>
      <c r="H38" s="195">
        <f>SUM(H39:H40)</f>
        <v>17</v>
      </c>
      <c r="I38" s="196"/>
      <c r="J38" s="196"/>
      <c r="K38" s="313"/>
      <c r="L38" s="197" t="s">
        <v>284</v>
      </c>
      <c r="M38" s="198">
        <f>2*5*0.02*1.1</f>
        <v>0.22000000000000003</v>
      </c>
      <c r="N38" s="193"/>
    </row>
    <row r="39" spans="2:14" x14ac:dyDescent="0.25">
      <c r="B39" s="308"/>
      <c r="C39" s="48" t="s">
        <v>85</v>
      </c>
      <c r="D39" s="49" t="s">
        <v>94</v>
      </c>
      <c r="E39" s="49">
        <f>ROUNDUP((SUM(M27:M46)/300),0)</f>
        <v>1</v>
      </c>
      <c r="F39" s="49">
        <v>1</v>
      </c>
      <c r="G39" s="50">
        <v>5</v>
      </c>
      <c r="H39" s="51">
        <f t="shared" ref="H39:H40" si="7">G39*E39*F39</f>
        <v>5</v>
      </c>
      <c r="I39" s="52"/>
      <c r="J39" s="52"/>
      <c r="K39" s="313"/>
      <c r="L39" s="53"/>
      <c r="M39" s="54"/>
      <c r="N39" s="193"/>
    </row>
    <row r="40" spans="2:14" x14ac:dyDescent="0.25">
      <c r="B40" s="308"/>
      <c r="C40" s="48" t="s">
        <v>91</v>
      </c>
      <c r="D40" s="49" t="s">
        <v>92</v>
      </c>
      <c r="E40" s="49">
        <v>1</v>
      </c>
      <c r="F40" s="49">
        <v>1</v>
      </c>
      <c r="G40" s="50">
        <v>12</v>
      </c>
      <c r="H40" s="51">
        <f t="shared" si="7"/>
        <v>12</v>
      </c>
      <c r="I40" s="52"/>
      <c r="J40" s="52"/>
      <c r="K40" s="313"/>
      <c r="L40" s="53"/>
      <c r="M40" s="54"/>
      <c r="N40" s="193"/>
    </row>
    <row r="41" spans="2:14" x14ac:dyDescent="0.25">
      <c r="B41" s="308"/>
      <c r="C41" s="310" t="s">
        <v>157</v>
      </c>
      <c r="D41" s="311"/>
      <c r="E41" s="311"/>
      <c r="F41" s="311"/>
      <c r="G41" s="311"/>
      <c r="H41" s="195">
        <f>SUM(H42)</f>
        <v>10</v>
      </c>
      <c r="I41" s="196"/>
      <c r="J41" s="196"/>
      <c r="K41" s="313"/>
      <c r="L41" s="53"/>
      <c r="M41" s="54"/>
      <c r="N41" s="193"/>
    </row>
    <row r="42" spans="2:14" x14ac:dyDescent="0.25">
      <c r="B42" s="308"/>
      <c r="C42" s="48" t="s">
        <v>29</v>
      </c>
      <c r="D42" s="49" t="s">
        <v>102</v>
      </c>
      <c r="E42" s="49">
        <v>1</v>
      </c>
      <c r="F42" s="49">
        <v>1</v>
      </c>
      <c r="G42" s="50">
        <f>(20*E28)/8</f>
        <v>10</v>
      </c>
      <c r="H42" s="51">
        <f t="shared" ref="H42" si="8">G42*E42*F42</f>
        <v>10</v>
      </c>
      <c r="I42" s="52"/>
      <c r="J42" s="52"/>
      <c r="K42" s="313"/>
      <c r="L42" s="53"/>
      <c r="M42" s="54"/>
      <c r="N42" s="193"/>
    </row>
    <row r="43" spans="2:14" x14ac:dyDescent="0.25">
      <c r="B43" s="308"/>
      <c r="C43" s="310" t="s">
        <v>281</v>
      </c>
      <c r="D43" s="311"/>
      <c r="E43" s="311"/>
      <c r="F43" s="311"/>
      <c r="G43" s="311"/>
      <c r="H43" s="195">
        <f>SUM(H44)</f>
        <v>30</v>
      </c>
      <c r="I43" s="196"/>
      <c r="J43" s="196"/>
      <c r="K43" s="313"/>
      <c r="L43" s="53"/>
      <c r="M43" s="54"/>
      <c r="N43" s="193"/>
    </row>
    <row r="44" spans="2:14" x14ac:dyDescent="0.25">
      <c r="B44" s="308"/>
      <c r="C44" s="48" t="s">
        <v>22</v>
      </c>
      <c r="D44" s="49" t="s">
        <v>94</v>
      </c>
      <c r="E44" s="49">
        <v>1</v>
      </c>
      <c r="F44" s="49">
        <v>1</v>
      </c>
      <c r="G44" s="50">
        <v>30</v>
      </c>
      <c r="H44" s="51">
        <f t="shared" ref="H44" si="9">G44*E44*F44</f>
        <v>30</v>
      </c>
      <c r="I44" s="52"/>
      <c r="J44" s="52"/>
      <c r="K44" s="313"/>
      <c r="L44" s="53"/>
      <c r="M44" s="54"/>
      <c r="N44" s="193"/>
    </row>
    <row r="45" spans="2:14" x14ac:dyDescent="0.25">
      <c r="B45" s="308"/>
      <c r="C45" s="315" t="s">
        <v>25</v>
      </c>
      <c r="D45" s="315"/>
      <c r="E45" s="315"/>
      <c r="F45" s="315"/>
      <c r="G45" s="315"/>
      <c r="H45" s="55">
        <f>SUM(H27,H30,H34,H38,H41,H43)</f>
        <v>214.5</v>
      </c>
      <c r="I45" s="52"/>
      <c r="J45" s="52"/>
      <c r="K45" s="313"/>
      <c r="L45" s="53"/>
      <c r="M45" s="54"/>
      <c r="N45" s="193"/>
    </row>
    <row r="46" spans="2:14" x14ac:dyDescent="0.25">
      <c r="B46" s="309"/>
      <c r="C46" s="316" t="s">
        <v>24</v>
      </c>
      <c r="D46" s="317"/>
      <c r="E46" s="317"/>
      <c r="F46" s="318"/>
      <c r="G46" s="56">
        <f>G23</f>
        <v>12</v>
      </c>
      <c r="H46" s="55">
        <f>ROUNDUP((H45/G46),0)</f>
        <v>18</v>
      </c>
      <c r="I46" s="52"/>
      <c r="J46" s="52"/>
      <c r="K46" s="314"/>
      <c r="L46" s="57"/>
      <c r="M46" s="58"/>
      <c r="N46" s="193"/>
    </row>
    <row r="48" spans="2:14" x14ac:dyDescent="0.25">
      <c r="B48" s="327" t="str">
        <f>MQT!A11</f>
        <v>1.3</v>
      </c>
      <c r="C48" s="327" t="s">
        <v>19</v>
      </c>
      <c r="D48" s="327" t="s">
        <v>14</v>
      </c>
      <c r="E48" s="329" t="s">
        <v>1</v>
      </c>
      <c r="F48" s="330"/>
      <c r="G48" s="319" t="s">
        <v>20</v>
      </c>
      <c r="H48" s="319" t="s">
        <v>21</v>
      </c>
      <c r="I48" s="321" t="s">
        <v>96</v>
      </c>
      <c r="J48" s="322"/>
      <c r="K48" s="323" t="s">
        <v>84</v>
      </c>
      <c r="L48" s="325" t="s">
        <v>85</v>
      </c>
      <c r="M48" s="326"/>
      <c r="N48" s="319" t="s">
        <v>28</v>
      </c>
    </row>
    <row r="49" spans="2:14" x14ac:dyDescent="0.25">
      <c r="B49" s="328"/>
      <c r="C49" s="328"/>
      <c r="D49" s="328"/>
      <c r="E49" s="59" t="s">
        <v>104</v>
      </c>
      <c r="F49" s="45" t="s">
        <v>103</v>
      </c>
      <c r="G49" s="320"/>
      <c r="H49" s="320"/>
      <c r="I49" s="91" t="s">
        <v>100</v>
      </c>
      <c r="J49" s="92" t="s">
        <v>99</v>
      </c>
      <c r="K49" s="324"/>
      <c r="L49" s="47" t="s">
        <v>101</v>
      </c>
      <c r="M49" s="61" t="s">
        <v>283</v>
      </c>
      <c r="N49" s="320"/>
    </row>
    <row r="50" spans="2:14" x14ac:dyDescent="0.25">
      <c r="B50" s="307" t="str">
        <f>MQT!B11</f>
        <v>Fornecimento de Sanca HOMESTAR A5 200X3.5X3.5cm em todo perimetro do teto falso.</v>
      </c>
      <c r="C50" s="310" t="s">
        <v>153</v>
      </c>
      <c r="D50" s="311"/>
      <c r="E50" s="311"/>
      <c r="F50" s="311"/>
      <c r="G50" s="311"/>
      <c r="H50" s="195">
        <f>SUM(H51:H52)</f>
        <v>108</v>
      </c>
      <c r="I50" s="196"/>
      <c r="J50" s="196"/>
      <c r="K50" s="312">
        <f>((E51+E52)/2)/8</f>
        <v>0.5</v>
      </c>
      <c r="L50" s="53"/>
      <c r="M50" s="54"/>
      <c r="N50" s="193"/>
    </row>
    <row r="51" spans="2:14" x14ac:dyDescent="0.25">
      <c r="B51" s="308"/>
      <c r="C51" s="48" t="s">
        <v>26</v>
      </c>
      <c r="D51" s="49" t="s">
        <v>92</v>
      </c>
      <c r="E51" s="49">
        <v>4</v>
      </c>
      <c r="F51" s="49">
        <v>1</v>
      </c>
      <c r="G51" s="50">
        <v>15</v>
      </c>
      <c r="H51" s="51">
        <f>G51*E51*F51</f>
        <v>60</v>
      </c>
      <c r="I51" s="52"/>
      <c r="J51" s="52"/>
      <c r="K51" s="313"/>
      <c r="L51" s="53"/>
      <c r="N51" s="193"/>
    </row>
    <row r="52" spans="2:14" x14ac:dyDescent="0.25">
      <c r="B52" s="308"/>
      <c r="C52" s="48" t="s">
        <v>27</v>
      </c>
      <c r="D52" s="49" t="s">
        <v>92</v>
      </c>
      <c r="E52" s="49">
        <v>4</v>
      </c>
      <c r="F52" s="49">
        <v>1</v>
      </c>
      <c r="G52" s="50">
        <v>12</v>
      </c>
      <c r="H52" s="51">
        <f t="shared" ref="H52" si="10">G52*E52*F52</f>
        <v>48</v>
      </c>
      <c r="I52" s="52"/>
      <c r="J52" s="52"/>
      <c r="K52" s="313"/>
      <c r="L52" s="44"/>
      <c r="M52" s="60"/>
      <c r="N52" s="193"/>
    </row>
    <row r="53" spans="2:14" x14ac:dyDescent="0.25">
      <c r="B53" s="308"/>
      <c r="C53" s="310" t="s">
        <v>155</v>
      </c>
      <c r="D53" s="311"/>
      <c r="E53" s="311"/>
      <c r="F53" s="311"/>
      <c r="G53" s="311"/>
      <c r="H53" s="195">
        <f>SUM(H54:H56)</f>
        <v>17.71</v>
      </c>
      <c r="I53" s="196"/>
      <c r="J53" s="196"/>
      <c r="K53" s="313"/>
      <c r="L53" s="44"/>
      <c r="M53" s="60"/>
      <c r="N53" s="193"/>
    </row>
    <row r="54" spans="2:14" x14ac:dyDescent="0.25">
      <c r="B54" s="308"/>
      <c r="C54" s="48" t="s">
        <v>338</v>
      </c>
      <c r="D54" s="49" t="s">
        <v>88</v>
      </c>
      <c r="E54" s="49">
        <v>1</v>
      </c>
      <c r="F54" s="49">
        <v>7</v>
      </c>
      <c r="G54" s="50">
        <v>1.39</v>
      </c>
      <c r="H54" s="51">
        <f t="shared" ref="H54:H56" si="11">G54*E54*F54</f>
        <v>9.7299999999999986</v>
      </c>
      <c r="I54" s="52"/>
      <c r="J54" s="52"/>
      <c r="K54" s="313"/>
      <c r="L54" s="53"/>
      <c r="M54" s="54"/>
      <c r="N54" s="193"/>
    </row>
    <row r="55" spans="2:14" x14ac:dyDescent="0.25">
      <c r="B55" s="308"/>
      <c r="C55" s="48" t="s">
        <v>339</v>
      </c>
      <c r="D55" s="49" t="s">
        <v>88</v>
      </c>
      <c r="E55" s="49">
        <v>1</v>
      </c>
      <c r="F55" s="49">
        <v>2</v>
      </c>
      <c r="G55" s="50">
        <v>3.99</v>
      </c>
      <c r="H55" s="51">
        <f t="shared" si="11"/>
        <v>7.98</v>
      </c>
      <c r="I55" s="52"/>
      <c r="J55" s="52"/>
      <c r="K55" s="313"/>
      <c r="L55" s="53"/>
      <c r="M55" s="54"/>
      <c r="N55" s="193"/>
    </row>
    <row r="56" spans="2:14" x14ac:dyDescent="0.25">
      <c r="B56" s="308"/>
      <c r="C56" s="48"/>
      <c r="D56" s="49"/>
      <c r="E56" s="49"/>
      <c r="F56" s="49"/>
      <c r="G56" s="50"/>
      <c r="H56" s="51">
        <f t="shared" si="11"/>
        <v>0</v>
      </c>
      <c r="I56" s="52"/>
      <c r="J56" s="52"/>
      <c r="K56" s="313"/>
      <c r="L56" s="53"/>
      <c r="M56" s="54"/>
      <c r="N56" s="193"/>
    </row>
    <row r="57" spans="2:14" x14ac:dyDescent="0.25">
      <c r="B57" s="308"/>
      <c r="C57" s="310" t="s">
        <v>280</v>
      </c>
      <c r="D57" s="311"/>
      <c r="E57" s="311"/>
      <c r="F57" s="311"/>
      <c r="G57" s="311"/>
      <c r="H57" s="195">
        <f>SUM(H58:H60)</f>
        <v>0</v>
      </c>
      <c r="I57" s="196"/>
      <c r="J57" s="196"/>
      <c r="K57" s="313"/>
      <c r="L57" s="53"/>
      <c r="M57" s="54"/>
      <c r="N57" s="193"/>
    </row>
    <row r="58" spans="2:14" x14ac:dyDescent="0.25">
      <c r="B58" s="308"/>
      <c r="C58" s="48" t="s">
        <v>89</v>
      </c>
      <c r="D58" s="49" t="s">
        <v>102</v>
      </c>
      <c r="E58" s="49">
        <v>1</v>
      </c>
      <c r="F58" s="49">
        <v>0</v>
      </c>
      <c r="G58" s="50">
        <v>25</v>
      </c>
      <c r="H58" s="51">
        <f t="shared" ref="H58:H59" si="12">G58*E58*F58</f>
        <v>0</v>
      </c>
      <c r="I58" s="52"/>
      <c r="J58" s="52"/>
      <c r="K58" s="313"/>
      <c r="L58" s="53"/>
      <c r="M58" s="54"/>
      <c r="N58" s="193"/>
    </row>
    <row r="59" spans="2:14" x14ac:dyDescent="0.25">
      <c r="B59" s="308"/>
      <c r="C59" s="48" t="s">
        <v>90</v>
      </c>
      <c r="D59" s="49" t="s">
        <v>282</v>
      </c>
      <c r="E59" s="49">
        <v>1</v>
      </c>
      <c r="F59" s="49">
        <v>0</v>
      </c>
      <c r="G59" s="50">
        <v>4</v>
      </c>
      <c r="H59" s="51">
        <f t="shared" si="12"/>
        <v>0</v>
      </c>
      <c r="I59" s="52"/>
      <c r="J59" s="52"/>
      <c r="K59" s="313"/>
      <c r="L59" s="53"/>
      <c r="M59" s="54"/>
      <c r="N59" s="193"/>
    </row>
    <row r="60" spans="2:14" x14ac:dyDescent="0.25">
      <c r="B60" s="308"/>
      <c r="C60" s="48"/>
      <c r="D60" s="49"/>
      <c r="E60" s="49"/>
      <c r="F60" s="49"/>
      <c r="G60" s="50"/>
      <c r="H60" s="51"/>
      <c r="I60" s="52"/>
      <c r="J60" s="52"/>
      <c r="K60" s="313"/>
      <c r="L60" s="53"/>
      <c r="M60" s="54"/>
      <c r="N60" s="193"/>
    </row>
    <row r="61" spans="2:14" x14ac:dyDescent="0.25">
      <c r="B61" s="308"/>
      <c r="C61" s="310" t="s">
        <v>85</v>
      </c>
      <c r="D61" s="311"/>
      <c r="E61" s="311"/>
      <c r="F61" s="311"/>
      <c r="G61" s="311"/>
      <c r="H61" s="195">
        <f>SUM(H62:H63)</f>
        <v>17</v>
      </c>
      <c r="I61" s="196"/>
      <c r="J61" s="196"/>
      <c r="K61" s="313"/>
      <c r="L61" s="197" t="s">
        <v>284</v>
      </c>
      <c r="M61" s="198">
        <f>2*5*0.02*1.1</f>
        <v>0.22000000000000003</v>
      </c>
      <c r="N61" s="193"/>
    </row>
    <row r="62" spans="2:14" x14ac:dyDescent="0.25">
      <c r="B62" s="308"/>
      <c r="C62" s="48" t="s">
        <v>85</v>
      </c>
      <c r="D62" s="49" t="s">
        <v>94</v>
      </c>
      <c r="E62" s="49">
        <f>ROUNDUP((SUM(M50:M69)/300),0)</f>
        <v>1</v>
      </c>
      <c r="F62" s="49">
        <v>1</v>
      </c>
      <c r="G62" s="50">
        <v>5</v>
      </c>
      <c r="H62" s="51">
        <f t="shared" ref="H62:H63" si="13">G62*E62*F62</f>
        <v>5</v>
      </c>
      <c r="I62" s="52"/>
      <c r="J62" s="52"/>
      <c r="K62" s="313"/>
      <c r="L62" s="53"/>
      <c r="M62" s="54"/>
      <c r="N62" s="193"/>
    </row>
    <row r="63" spans="2:14" x14ac:dyDescent="0.25">
      <c r="B63" s="308"/>
      <c r="C63" s="48" t="s">
        <v>91</v>
      </c>
      <c r="D63" s="49" t="s">
        <v>92</v>
      </c>
      <c r="E63" s="49">
        <v>1</v>
      </c>
      <c r="F63" s="49">
        <v>1</v>
      </c>
      <c r="G63" s="50">
        <v>12</v>
      </c>
      <c r="H63" s="51">
        <f t="shared" si="13"/>
        <v>12</v>
      </c>
      <c r="I63" s="52"/>
      <c r="J63" s="52"/>
      <c r="K63" s="313"/>
      <c r="L63" s="53"/>
      <c r="M63" s="54"/>
      <c r="N63" s="193"/>
    </row>
    <row r="64" spans="2:14" x14ac:dyDescent="0.25">
      <c r="B64" s="308"/>
      <c r="C64" s="310" t="s">
        <v>157</v>
      </c>
      <c r="D64" s="311"/>
      <c r="E64" s="311"/>
      <c r="F64" s="311"/>
      <c r="G64" s="311"/>
      <c r="H64" s="195">
        <f>SUM(H65)</f>
        <v>10</v>
      </c>
      <c r="I64" s="196"/>
      <c r="J64" s="196"/>
      <c r="K64" s="313"/>
      <c r="L64" s="53"/>
      <c r="M64" s="54"/>
      <c r="N64" s="193"/>
    </row>
    <row r="65" spans="2:14" x14ac:dyDescent="0.25">
      <c r="B65" s="308"/>
      <c r="C65" s="48" t="s">
        <v>29</v>
      </c>
      <c r="D65" s="49" t="s">
        <v>102</v>
      </c>
      <c r="E65" s="49">
        <v>1</v>
      </c>
      <c r="F65" s="49">
        <v>1</v>
      </c>
      <c r="G65" s="50">
        <f>(20*E51)/8</f>
        <v>10</v>
      </c>
      <c r="H65" s="51">
        <f t="shared" ref="H65" si="14">G65*E65*F65</f>
        <v>10</v>
      </c>
      <c r="I65" s="52"/>
      <c r="J65" s="52"/>
      <c r="K65" s="313"/>
      <c r="L65" s="53"/>
      <c r="M65" s="54"/>
      <c r="N65" s="193"/>
    </row>
    <row r="66" spans="2:14" x14ac:dyDescent="0.25">
      <c r="B66" s="308"/>
      <c r="C66" s="310" t="s">
        <v>281</v>
      </c>
      <c r="D66" s="311"/>
      <c r="E66" s="311"/>
      <c r="F66" s="311"/>
      <c r="G66" s="311"/>
      <c r="H66" s="195">
        <f>SUM(H67)</f>
        <v>10</v>
      </c>
      <c r="I66" s="196"/>
      <c r="J66" s="196"/>
      <c r="K66" s="313"/>
      <c r="L66" s="53"/>
      <c r="M66" s="54"/>
      <c r="N66" s="193"/>
    </row>
    <row r="67" spans="2:14" x14ac:dyDescent="0.25">
      <c r="B67" s="308"/>
      <c r="C67" s="48" t="s">
        <v>22</v>
      </c>
      <c r="D67" s="49" t="s">
        <v>94</v>
      </c>
      <c r="E67" s="49">
        <v>1</v>
      </c>
      <c r="F67" s="49">
        <v>1</v>
      </c>
      <c r="G67" s="50">
        <v>10</v>
      </c>
      <c r="H67" s="51">
        <f t="shared" ref="H67" si="15">G67*E67*F67</f>
        <v>10</v>
      </c>
      <c r="I67" s="52"/>
      <c r="J67" s="52"/>
      <c r="K67" s="313"/>
      <c r="L67" s="53"/>
      <c r="M67" s="54"/>
      <c r="N67" s="193"/>
    </row>
    <row r="68" spans="2:14" x14ac:dyDescent="0.25">
      <c r="B68" s="308"/>
      <c r="C68" s="315" t="s">
        <v>25</v>
      </c>
      <c r="D68" s="315"/>
      <c r="E68" s="315"/>
      <c r="F68" s="315"/>
      <c r="G68" s="315"/>
      <c r="H68" s="55">
        <f>SUM(H50,H53,H57,H61,H64,H66)</f>
        <v>162.71</v>
      </c>
      <c r="I68" s="52"/>
      <c r="J68" s="52"/>
      <c r="K68" s="313"/>
      <c r="L68" s="53"/>
      <c r="M68" s="54"/>
      <c r="N68" s="193"/>
    </row>
    <row r="69" spans="2:14" x14ac:dyDescent="0.25">
      <c r="B69" s="309"/>
      <c r="C69" s="316" t="s">
        <v>183</v>
      </c>
      <c r="D69" s="317"/>
      <c r="E69" s="317"/>
      <c r="F69" s="318"/>
      <c r="G69" s="56">
        <v>14</v>
      </c>
      <c r="H69" s="55">
        <f>ROUNDUP((H68/G69),0)</f>
        <v>12</v>
      </c>
      <c r="I69" s="52"/>
      <c r="J69" s="52"/>
      <c r="K69" s="314"/>
      <c r="L69" s="57"/>
      <c r="M69" s="58"/>
      <c r="N69" s="193"/>
    </row>
    <row r="71" spans="2:14" x14ac:dyDescent="0.25">
      <c r="B71" s="327" t="str">
        <f>MQT!A13</f>
        <v>2.1</v>
      </c>
      <c r="C71" s="327" t="s">
        <v>19</v>
      </c>
      <c r="D71" s="327" t="s">
        <v>14</v>
      </c>
      <c r="E71" s="329" t="s">
        <v>1</v>
      </c>
      <c r="F71" s="330"/>
      <c r="G71" s="319" t="s">
        <v>20</v>
      </c>
      <c r="H71" s="319" t="s">
        <v>21</v>
      </c>
      <c r="I71" s="321" t="s">
        <v>96</v>
      </c>
      <c r="J71" s="322"/>
      <c r="K71" s="323" t="s">
        <v>84</v>
      </c>
      <c r="L71" s="325" t="s">
        <v>85</v>
      </c>
      <c r="M71" s="326"/>
      <c r="N71" s="319" t="s">
        <v>28</v>
      </c>
    </row>
    <row r="72" spans="2:14" x14ac:dyDescent="0.25">
      <c r="B72" s="328"/>
      <c r="C72" s="328"/>
      <c r="D72" s="328"/>
      <c r="E72" s="59" t="s">
        <v>104</v>
      </c>
      <c r="F72" s="45" t="s">
        <v>103</v>
      </c>
      <c r="G72" s="320"/>
      <c r="H72" s="320"/>
      <c r="I72" s="91" t="s">
        <v>100</v>
      </c>
      <c r="J72" s="92" t="s">
        <v>99</v>
      </c>
      <c r="K72" s="324"/>
      <c r="L72" s="47" t="s">
        <v>101</v>
      </c>
      <c r="M72" s="61" t="s">
        <v>283</v>
      </c>
      <c r="N72" s="320"/>
    </row>
    <row r="73" spans="2:14" x14ac:dyDescent="0.25">
      <c r="B73" s="307" t="str">
        <f>MQT!B13</f>
        <v>Solução para tetos interiores, constituída por estrutura com perfis metálicos horizontais F530 afastados a cada 500 mm, suspensos por elementos verticais fixados ao teto, nos quais é fixada 1 camada de placas Gyptec BA13A (STANDARD). Massas, bandas para juntas e acessórios de fixação. Superfícies prontas para acabamento final de pintura ou decoração</v>
      </c>
      <c r="C73" s="310" t="s">
        <v>153</v>
      </c>
      <c r="D73" s="311"/>
      <c r="E73" s="311"/>
      <c r="F73" s="311"/>
      <c r="G73" s="311"/>
      <c r="H73" s="195">
        <f>SUM(H74:H75)</f>
        <v>216</v>
      </c>
      <c r="I73" s="196"/>
      <c r="J73" s="196"/>
      <c r="K73" s="312">
        <f>((E74+E75)/2)/8</f>
        <v>1</v>
      </c>
      <c r="L73" s="53"/>
      <c r="M73" s="54"/>
      <c r="N73" s="193"/>
    </row>
    <row r="74" spans="2:14" x14ac:dyDescent="0.25">
      <c r="B74" s="308"/>
      <c r="C74" s="48" t="s">
        <v>26</v>
      </c>
      <c r="D74" s="49" t="s">
        <v>92</v>
      </c>
      <c r="E74" s="49">
        <v>8</v>
      </c>
      <c r="F74" s="49">
        <v>1</v>
      </c>
      <c r="G74" s="50">
        <v>15</v>
      </c>
      <c r="H74" s="51">
        <f>G74*E74*F74</f>
        <v>120</v>
      </c>
      <c r="I74" s="52"/>
      <c r="J74" s="52"/>
      <c r="K74" s="313"/>
      <c r="L74" s="53"/>
      <c r="N74" s="193"/>
    </row>
    <row r="75" spans="2:14" x14ac:dyDescent="0.25">
      <c r="B75" s="308"/>
      <c r="C75" s="48" t="s">
        <v>27</v>
      </c>
      <c r="D75" s="49" t="s">
        <v>92</v>
      </c>
      <c r="E75" s="49">
        <v>8</v>
      </c>
      <c r="F75" s="49">
        <v>1</v>
      </c>
      <c r="G75" s="50">
        <v>12</v>
      </c>
      <c r="H75" s="51">
        <f t="shared" ref="H75" si="16">G75*E75*F75</f>
        <v>96</v>
      </c>
      <c r="I75" s="52"/>
      <c r="J75" s="52"/>
      <c r="K75" s="313"/>
      <c r="L75" s="44"/>
      <c r="M75" s="60"/>
      <c r="N75" s="193"/>
    </row>
    <row r="76" spans="2:14" x14ac:dyDescent="0.25">
      <c r="B76" s="308"/>
      <c r="C76" s="310" t="s">
        <v>155</v>
      </c>
      <c r="D76" s="311"/>
      <c r="E76" s="311"/>
      <c r="F76" s="311"/>
      <c r="G76" s="311"/>
      <c r="H76" s="195">
        <f>SUM(H77:H79)</f>
        <v>125</v>
      </c>
      <c r="I76" s="196"/>
      <c r="J76" s="196"/>
      <c r="K76" s="313"/>
      <c r="L76" s="44"/>
      <c r="M76" s="60"/>
      <c r="N76" s="193"/>
    </row>
    <row r="77" spans="2:14" x14ac:dyDescent="0.25">
      <c r="B77" s="308"/>
      <c r="C77" s="48" t="s">
        <v>336</v>
      </c>
      <c r="D77" s="49" t="s">
        <v>88</v>
      </c>
      <c r="E77" s="49">
        <v>1</v>
      </c>
      <c r="F77" s="49">
        <v>1</v>
      </c>
      <c r="G77" s="50">
        <v>125</v>
      </c>
      <c r="H77" s="51">
        <f t="shared" ref="H77:H79" si="17">G77*E77*F77</f>
        <v>125</v>
      </c>
      <c r="I77" s="52"/>
      <c r="J77" s="52"/>
      <c r="K77" s="313"/>
      <c r="L77" s="53"/>
      <c r="M77" s="54"/>
      <c r="N77" s="193"/>
    </row>
    <row r="78" spans="2:14" x14ac:dyDescent="0.25">
      <c r="B78" s="308"/>
      <c r="C78" s="48"/>
      <c r="D78" s="49"/>
      <c r="E78" s="49"/>
      <c r="F78" s="49"/>
      <c r="G78" s="50"/>
      <c r="H78" s="51">
        <f t="shared" si="17"/>
        <v>0</v>
      </c>
      <c r="I78" s="52"/>
      <c r="J78" s="52"/>
      <c r="K78" s="313"/>
      <c r="L78" s="53"/>
      <c r="M78" s="54"/>
      <c r="N78" s="193"/>
    </row>
    <row r="79" spans="2:14" x14ac:dyDescent="0.25">
      <c r="B79" s="308"/>
      <c r="C79" s="48"/>
      <c r="D79" s="49"/>
      <c r="E79" s="49"/>
      <c r="F79" s="49"/>
      <c r="G79" s="50"/>
      <c r="H79" s="51">
        <f t="shared" si="17"/>
        <v>0</v>
      </c>
      <c r="I79" s="52"/>
      <c r="J79" s="52"/>
      <c r="K79" s="313"/>
      <c r="L79" s="53"/>
      <c r="M79" s="54"/>
      <c r="N79" s="193"/>
    </row>
    <row r="80" spans="2:14" x14ac:dyDescent="0.25">
      <c r="B80" s="308"/>
      <c r="C80" s="310" t="s">
        <v>280</v>
      </c>
      <c r="D80" s="311"/>
      <c r="E80" s="311"/>
      <c r="F80" s="311"/>
      <c r="G80" s="311"/>
      <c r="H80" s="195">
        <f>SUM(H81:H83)</f>
        <v>0</v>
      </c>
      <c r="I80" s="196"/>
      <c r="J80" s="196"/>
      <c r="K80" s="313"/>
      <c r="L80" s="53"/>
      <c r="M80" s="54"/>
      <c r="N80" s="193"/>
    </row>
    <row r="81" spans="2:14" x14ac:dyDescent="0.25">
      <c r="B81" s="308"/>
      <c r="C81" s="48" t="s">
        <v>337</v>
      </c>
      <c r="D81" s="49" t="s">
        <v>102</v>
      </c>
      <c r="E81" s="49">
        <v>1</v>
      </c>
      <c r="F81" s="49">
        <v>0</v>
      </c>
      <c r="G81" s="50">
        <v>25</v>
      </c>
      <c r="H81" s="51">
        <f t="shared" ref="H81:H82" si="18">G81*E81*F81</f>
        <v>0</v>
      </c>
      <c r="I81" s="52"/>
      <c r="J81" s="52"/>
      <c r="K81" s="313"/>
      <c r="L81" s="53"/>
      <c r="M81" s="54"/>
      <c r="N81" s="193"/>
    </row>
    <row r="82" spans="2:14" x14ac:dyDescent="0.25">
      <c r="B82" s="308"/>
      <c r="C82" s="48" t="s">
        <v>90</v>
      </c>
      <c r="D82" s="49" t="s">
        <v>282</v>
      </c>
      <c r="E82" s="49">
        <v>1</v>
      </c>
      <c r="F82" s="49">
        <v>0</v>
      </c>
      <c r="G82" s="50">
        <v>4</v>
      </c>
      <c r="H82" s="51">
        <f t="shared" si="18"/>
        <v>0</v>
      </c>
      <c r="I82" s="52"/>
      <c r="J82" s="52"/>
      <c r="K82" s="313"/>
      <c r="L82" s="53"/>
      <c r="M82" s="54"/>
      <c r="N82" s="193"/>
    </row>
    <row r="83" spans="2:14" x14ac:dyDescent="0.25">
      <c r="B83" s="308"/>
      <c r="C83" s="48"/>
      <c r="D83" s="49"/>
      <c r="E83" s="49"/>
      <c r="F83" s="49"/>
      <c r="G83" s="50"/>
      <c r="H83" s="51"/>
      <c r="I83" s="52"/>
      <c r="J83" s="52"/>
      <c r="K83" s="313"/>
      <c r="L83" s="53"/>
      <c r="M83" s="54"/>
      <c r="N83" s="193"/>
    </row>
    <row r="84" spans="2:14" x14ac:dyDescent="0.25">
      <c r="B84" s="308"/>
      <c r="C84" s="310" t="s">
        <v>85</v>
      </c>
      <c r="D84" s="311"/>
      <c r="E84" s="311"/>
      <c r="F84" s="311"/>
      <c r="G84" s="311"/>
      <c r="H84" s="195">
        <f>SUM(H85:H86)</f>
        <v>11</v>
      </c>
      <c r="I84" s="196"/>
      <c r="J84" s="196"/>
      <c r="K84" s="313"/>
      <c r="L84" s="197" t="s">
        <v>284</v>
      </c>
      <c r="M84" s="198">
        <f>2*5*0.02*1.1</f>
        <v>0.22000000000000003</v>
      </c>
      <c r="N84" s="193"/>
    </row>
    <row r="85" spans="2:14" x14ac:dyDescent="0.25">
      <c r="B85" s="308"/>
      <c r="C85" s="48" t="s">
        <v>85</v>
      </c>
      <c r="D85" s="49" t="s">
        <v>94</v>
      </c>
      <c r="E85" s="49">
        <f>ROUNDUP((SUM(M73:M92)/300),0)</f>
        <v>1</v>
      </c>
      <c r="F85" s="49">
        <v>1</v>
      </c>
      <c r="G85" s="50">
        <v>5</v>
      </c>
      <c r="H85" s="51">
        <f t="shared" ref="H85:H86" si="19">G85*E85*F85</f>
        <v>5</v>
      </c>
      <c r="I85" s="52"/>
      <c r="J85" s="52"/>
      <c r="K85" s="313"/>
      <c r="L85" s="53"/>
      <c r="M85" s="54"/>
      <c r="N85" s="193"/>
    </row>
    <row r="86" spans="2:14" x14ac:dyDescent="0.25">
      <c r="B86" s="308"/>
      <c r="C86" s="48" t="s">
        <v>91</v>
      </c>
      <c r="D86" s="49" t="s">
        <v>92</v>
      </c>
      <c r="E86" s="49">
        <v>1</v>
      </c>
      <c r="F86" s="49">
        <v>0.5</v>
      </c>
      <c r="G86" s="50">
        <v>12</v>
      </c>
      <c r="H86" s="51">
        <f t="shared" si="19"/>
        <v>6</v>
      </c>
      <c r="I86" s="52"/>
      <c r="J86" s="52"/>
      <c r="K86" s="313"/>
      <c r="L86" s="53"/>
      <c r="M86" s="54"/>
      <c r="N86" s="193"/>
    </row>
    <row r="87" spans="2:14" x14ac:dyDescent="0.25">
      <c r="B87" s="308"/>
      <c r="C87" s="310" t="s">
        <v>157</v>
      </c>
      <c r="D87" s="311"/>
      <c r="E87" s="311"/>
      <c r="F87" s="311"/>
      <c r="G87" s="311"/>
      <c r="H87" s="195">
        <f>SUM(H88)</f>
        <v>20</v>
      </c>
      <c r="I87" s="196"/>
      <c r="J87" s="196"/>
      <c r="K87" s="313"/>
      <c r="L87" s="53"/>
      <c r="M87" s="54"/>
      <c r="N87" s="193"/>
    </row>
    <row r="88" spans="2:14" x14ac:dyDescent="0.25">
      <c r="B88" s="308"/>
      <c r="C88" s="48" t="s">
        <v>29</v>
      </c>
      <c r="D88" s="49" t="s">
        <v>102</v>
      </c>
      <c r="E88" s="49">
        <v>1</v>
      </c>
      <c r="F88" s="49">
        <v>1</v>
      </c>
      <c r="G88" s="50">
        <f>(20*E74)/8</f>
        <v>20</v>
      </c>
      <c r="H88" s="51">
        <f t="shared" ref="H88" si="20">G88*E88*F88</f>
        <v>20</v>
      </c>
      <c r="I88" s="52"/>
      <c r="J88" s="52"/>
      <c r="K88" s="313"/>
      <c r="L88" s="53"/>
      <c r="M88" s="54"/>
      <c r="N88" s="193"/>
    </row>
    <row r="89" spans="2:14" x14ac:dyDescent="0.25">
      <c r="B89" s="308"/>
      <c r="C89" s="310" t="s">
        <v>281</v>
      </c>
      <c r="D89" s="311"/>
      <c r="E89" s="311"/>
      <c r="F89" s="311"/>
      <c r="G89" s="311"/>
      <c r="H89" s="195">
        <f>SUM(H90)</f>
        <v>10</v>
      </c>
      <c r="I89" s="196"/>
      <c r="J89" s="196"/>
      <c r="K89" s="313"/>
      <c r="L89" s="53"/>
      <c r="M89" s="54"/>
      <c r="N89" s="193"/>
    </row>
    <row r="90" spans="2:14" x14ac:dyDescent="0.25">
      <c r="B90" s="308"/>
      <c r="C90" s="48" t="s">
        <v>22</v>
      </c>
      <c r="D90" s="49" t="s">
        <v>94</v>
      </c>
      <c r="E90" s="49">
        <v>1</v>
      </c>
      <c r="F90" s="49">
        <v>1</v>
      </c>
      <c r="G90" s="50">
        <v>10</v>
      </c>
      <c r="H90" s="51">
        <f t="shared" ref="H90" si="21">G90*E90*F90</f>
        <v>10</v>
      </c>
      <c r="I90" s="52"/>
      <c r="J90" s="52"/>
      <c r="K90" s="313"/>
      <c r="L90" s="53"/>
      <c r="M90" s="54"/>
      <c r="N90" s="193"/>
    </row>
    <row r="91" spans="2:14" x14ac:dyDescent="0.25">
      <c r="B91" s="308"/>
      <c r="C91" s="315" t="s">
        <v>25</v>
      </c>
      <c r="D91" s="315"/>
      <c r="E91" s="315"/>
      <c r="F91" s="315"/>
      <c r="G91" s="315"/>
      <c r="H91" s="55">
        <f>SUM(H73,H76,H80,H84,H87,H89)</f>
        <v>382</v>
      </c>
      <c r="I91" s="52"/>
      <c r="J91" s="52"/>
      <c r="K91" s="313"/>
      <c r="L91" s="53"/>
      <c r="M91" s="54"/>
      <c r="N91" s="193"/>
    </row>
    <row r="92" spans="2:14" x14ac:dyDescent="0.25">
      <c r="B92" s="309"/>
      <c r="C92" s="316" t="s">
        <v>24</v>
      </c>
      <c r="D92" s="317"/>
      <c r="E92" s="317"/>
      <c r="F92" s="318"/>
      <c r="G92" s="56">
        <f>MQT!AA11</f>
        <v>11.55</v>
      </c>
      <c r="H92" s="55">
        <f>ROUNDUP((H91/G92),0)</f>
        <v>34</v>
      </c>
      <c r="I92" s="52"/>
      <c r="J92" s="52"/>
      <c r="K92" s="314"/>
      <c r="L92" s="57"/>
      <c r="M92" s="58"/>
      <c r="N92" s="193"/>
    </row>
    <row r="94" spans="2:14" x14ac:dyDescent="0.25">
      <c r="B94" s="327" t="str">
        <f>MQT!A14</f>
        <v>2.2</v>
      </c>
      <c r="C94" s="327" t="s">
        <v>19</v>
      </c>
      <c r="D94" s="327" t="s">
        <v>14</v>
      </c>
      <c r="E94" s="329" t="s">
        <v>1</v>
      </c>
      <c r="F94" s="330"/>
      <c r="G94" s="319" t="s">
        <v>20</v>
      </c>
      <c r="H94" s="319" t="s">
        <v>21</v>
      </c>
      <c r="I94" s="321" t="s">
        <v>96</v>
      </c>
      <c r="J94" s="322"/>
      <c r="K94" s="323" t="s">
        <v>84</v>
      </c>
      <c r="L94" s="325" t="s">
        <v>85</v>
      </c>
      <c r="M94" s="326"/>
      <c r="N94" s="319" t="s">
        <v>28</v>
      </c>
    </row>
    <row r="95" spans="2:14" x14ac:dyDescent="0.25">
      <c r="B95" s="328"/>
      <c r="C95" s="328"/>
      <c r="D95" s="328"/>
      <c r="E95" s="59" t="s">
        <v>104</v>
      </c>
      <c r="F95" s="45" t="s">
        <v>103</v>
      </c>
      <c r="G95" s="320"/>
      <c r="H95" s="320"/>
      <c r="I95" s="91" t="s">
        <v>100</v>
      </c>
      <c r="J95" s="92" t="s">
        <v>99</v>
      </c>
      <c r="K95" s="324"/>
      <c r="L95" s="47" t="s">
        <v>101</v>
      </c>
      <c r="M95" s="61" t="s">
        <v>283</v>
      </c>
      <c r="N95" s="320"/>
    </row>
    <row r="96" spans="2:14" x14ac:dyDescent="0.25">
      <c r="B96" s="307" t="str">
        <f>MQT!B14</f>
        <v>Execução de esquema de pintura em teto com Tinta Robbialac 2 em 1 branco, aplicado em 2 demão. Inclui proteção de rodapé, caixilharias, guarnições de portas, utilizando fita multisuperficies, e manga plástica para pavimento</v>
      </c>
      <c r="C96" s="310" t="s">
        <v>153</v>
      </c>
      <c r="D96" s="311"/>
      <c r="E96" s="311"/>
      <c r="F96" s="311"/>
      <c r="G96" s="311"/>
      <c r="H96" s="195">
        <f>SUM(H97:H98)</f>
        <v>108</v>
      </c>
      <c r="I96" s="196"/>
      <c r="J96" s="196"/>
      <c r="K96" s="312">
        <f>((E97+E98)/2)/8</f>
        <v>0.5</v>
      </c>
      <c r="L96" s="53"/>
      <c r="M96" s="54"/>
      <c r="N96" s="193"/>
    </row>
    <row r="97" spans="2:14" x14ac:dyDescent="0.25">
      <c r="B97" s="308"/>
      <c r="C97" s="48" t="s">
        <v>26</v>
      </c>
      <c r="D97" s="49" t="s">
        <v>92</v>
      </c>
      <c r="E97" s="49">
        <v>4</v>
      </c>
      <c r="F97" s="49">
        <v>1</v>
      </c>
      <c r="G97" s="50">
        <v>15</v>
      </c>
      <c r="H97" s="51">
        <f>G97*E97*F97</f>
        <v>60</v>
      </c>
      <c r="I97" s="52"/>
      <c r="J97" s="52"/>
      <c r="K97" s="313"/>
      <c r="L97" s="53"/>
      <c r="N97" s="193"/>
    </row>
    <row r="98" spans="2:14" x14ac:dyDescent="0.25">
      <c r="B98" s="308"/>
      <c r="C98" s="48" t="s">
        <v>27</v>
      </c>
      <c r="D98" s="49" t="s">
        <v>92</v>
      </c>
      <c r="E98" s="49">
        <v>4</v>
      </c>
      <c r="F98" s="49">
        <v>1</v>
      </c>
      <c r="G98" s="50">
        <v>12</v>
      </c>
      <c r="H98" s="51">
        <f t="shared" ref="H98" si="22">G98*E98*F98</f>
        <v>48</v>
      </c>
      <c r="I98" s="52"/>
      <c r="J98" s="52"/>
      <c r="K98" s="313"/>
      <c r="L98" s="44"/>
      <c r="M98" s="60"/>
      <c r="N98" s="193"/>
    </row>
    <row r="99" spans="2:14" x14ac:dyDescent="0.25">
      <c r="B99" s="308"/>
      <c r="C99" s="310" t="s">
        <v>155</v>
      </c>
      <c r="D99" s="311"/>
      <c r="E99" s="311"/>
      <c r="F99" s="311"/>
      <c r="G99" s="311"/>
      <c r="H99" s="195">
        <f>SUM(H100:H102)</f>
        <v>44.5</v>
      </c>
      <c r="I99" s="196"/>
      <c r="J99" s="196"/>
      <c r="K99" s="313"/>
      <c r="L99" s="44"/>
      <c r="M99" s="60"/>
      <c r="N99" s="193"/>
    </row>
    <row r="100" spans="2:14" ht="30" x14ac:dyDescent="0.25">
      <c r="B100" s="308"/>
      <c r="C100" s="48" t="s">
        <v>333</v>
      </c>
      <c r="D100" s="49" t="s">
        <v>88</v>
      </c>
      <c r="E100" s="49">
        <v>1</v>
      </c>
      <c r="F100" s="49">
        <v>1</v>
      </c>
      <c r="G100" s="50">
        <v>44.5</v>
      </c>
      <c r="H100" s="51">
        <f t="shared" ref="H100:H102" si="23">G100*E100*F100</f>
        <v>44.5</v>
      </c>
      <c r="I100" s="52"/>
      <c r="J100" s="52"/>
      <c r="K100" s="313"/>
      <c r="L100" s="53"/>
      <c r="M100" s="54"/>
      <c r="N100" s="193"/>
    </row>
    <row r="101" spans="2:14" x14ac:dyDescent="0.25">
      <c r="B101" s="308"/>
      <c r="C101" s="48"/>
      <c r="D101" s="49"/>
      <c r="E101" s="49"/>
      <c r="F101" s="49"/>
      <c r="G101" s="50"/>
      <c r="H101" s="51">
        <f t="shared" si="23"/>
        <v>0</v>
      </c>
      <c r="I101" s="52"/>
      <c r="J101" s="52"/>
      <c r="K101" s="313"/>
      <c r="L101" s="53"/>
      <c r="M101" s="54"/>
      <c r="N101" s="193"/>
    </row>
    <row r="102" spans="2:14" x14ac:dyDescent="0.25">
      <c r="B102" s="308"/>
      <c r="C102" s="48"/>
      <c r="D102" s="49"/>
      <c r="E102" s="49"/>
      <c r="F102" s="49"/>
      <c r="G102" s="50"/>
      <c r="H102" s="51">
        <f t="shared" si="23"/>
        <v>0</v>
      </c>
      <c r="I102" s="52"/>
      <c r="J102" s="52"/>
      <c r="K102" s="313"/>
      <c r="L102" s="53"/>
      <c r="M102" s="54"/>
      <c r="N102" s="193"/>
    </row>
    <row r="103" spans="2:14" x14ac:dyDescent="0.25">
      <c r="B103" s="308"/>
      <c r="C103" s="310" t="s">
        <v>280</v>
      </c>
      <c r="D103" s="311"/>
      <c r="E103" s="311"/>
      <c r="F103" s="311"/>
      <c r="G103" s="311"/>
      <c r="H103" s="195">
        <f>SUM(H104:H106)</f>
        <v>0</v>
      </c>
      <c r="I103" s="196"/>
      <c r="J103" s="196"/>
      <c r="K103" s="313"/>
      <c r="L103" s="53"/>
      <c r="M103" s="54"/>
      <c r="N103" s="193"/>
    </row>
    <row r="104" spans="2:14" x14ac:dyDescent="0.25">
      <c r="B104" s="308"/>
      <c r="C104" s="48" t="s">
        <v>89</v>
      </c>
      <c r="D104" s="49" t="s">
        <v>102</v>
      </c>
      <c r="E104" s="49">
        <v>1</v>
      </c>
      <c r="F104" s="49">
        <v>0</v>
      </c>
      <c r="G104" s="50">
        <v>25</v>
      </c>
      <c r="H104" s="51">
        <f t="shared" ref="H104:H105" si="24">G104*E104*F104</f>
        <v>0</v>
      </c>
      <c r="I104" s="52"/>
      <c r="J104" s="52"/>
      <c r="K104" s="313"/>
      <c r="L104" s="53"/>
      <c r="M104" s="54"/>
      <c r="N104" s="193"/>
    </row>
    <row r="105" spans="2:14" x14ac:dyDescent="0.25">
      <c r="B105" s="308"/>
      <c r="C105" s="48" t="s">
        <v>90</v>
      </c>
      <c r="D105" s="49" t="s">
        <v>282</v>
      </c>
      <c r="E105" s="49">
        <v>1</v>
      </c>
      <c r="F105" s="49">
        <v>0</v>
      </c>
      <c r="G105" s="50">
        <v>4</v>
      </c>
      <c r="H105" s="51">
        <f t="shared" si="24"/>
        <v>0</v>
      </c>
      <c r="I105" s="52"/>
      <c r="J105" s="52"/>
      <c r="K105" s="313"/>
      <c r="L105" s="53"/>
      <c r="M105" s="54"/>
      <c r="N105" s="193"/>
    </row>
    <row r="106" spans="2:14" x14ac:dyDescent="0.25">
      <c r="B106" s="308"/>
      <c r="C106" s="48"/>
      <c r="D106" s="49"/>
      <c r="E106" s="49"/>
      <c r="F106" s="49"/>
      <c r="G106" s="50"/>
      <c r="H106" s="51"/>
      <c r="I106" s="52"/>
      <c r="J106" s="52"/>
      <c r="K106" s="313"/>
      <c r="L106" s="53"/>
      <c r="M106" s="54"/>
      <c r="N106" s="193"/>
    </row>
    <row r="107" spans="2:14" x14ac:dyDescent="0.25">
      <c r="B107" s="308"/>
      <c r="C107" s="310" t="s">
        <v>85</v>
      </c>
      <c r="D107" s="311"/>
      <c r="E107" s="311"/>
      <c r="F107" s="311"/>
      <c r="G107" s="311"/>
      <c r="H107" s="195">
        <f>SUM(H108:H109)</f>
        <v>17</v>
      </c>
      <c r="I107" s="196"/>
      <c r="J107" s="196"/>
      <c r="K107" s="313"/>
      <c r="L107" s="197" t="s">
        <v>284</v>
      </c>
      <c r="M107" s="198">
        <f>2*5*0.02*1.1</f>
        <v>0.22000000000000003</v>
      </c>
      <c r="N107" s="193"/>
    </row>
    <row r="108" spans="2:14" x14ac:dyDescent="0.25">
      <c r="B108" s="308"/>
      <c r="C108" s="48" t="s">
        <v>85</v>
      </c>
      <c r="D108" s="49" t="s">
        <v>94</v>
      </c>
      <c r="E108" s="49">
        <f>ROUNDUP((SUM(M96:M115)/300),0)</f>
        <v>1</v>
      </c>
      <c r="F108" s="49">
        <v>1</v>
      </c>
      <c r="G108" s="50">
        <v>5</v>
      </c>
      <c r="H108" s="51">
        <f t="shared" ref="H108:H109" si="25">G108*E108*F108</f>
        <v>5</v>
      </c>
      <c r="I108" s="52"/>
      <c r="J108" s="52"/>
      <c r="K108" s="313"/>
      <c r="L108" s="53"/>
      <c r="M108" s="54"/>
      <c r="N108" s="193"/>
    </row>
    <row r="109" spans="2:14" x14ac:dyDescent="0.25">
      <c r="B109" s="308"/>
      <c r="C109" s="48" t="s">
        <v>91</v>
      </c>
      <c r="D109" s="49" t="s">
        <v>92</v>
      </c>
      <c r="E109" s="49">
        <v>1</v>
      </c>
      <c r="F109" s="49">
        <v>1</v>
      </c>
      <c r="G109" s="50">
        <v>12</v>
      </c>
      <c r="H109" s="51">
        <f t="shared" si="25"/>
        <v>12</v>
      </c>
      <c r="I109" s="52"/>
      <c r="J109" s="52"/>
      <c r="K109" s="313"/>
      <c r="L109" s="53"/>
      <c r="M109" s="54"/>
      <c r="N109" s="193"/>
    </row>
    <row r="110" spans="2:14" x14ac:dyDescent="0.25">
      <c r="B110" s="308"/>
      <c r="C110" s="310" t="s">
        <v>157</v>
      </c>
      <c r="D110" s="311"/>
      <c r="E110" s="311"/>
      <c r="F110" s="311"/>
      <c r="G110" s="311"/>
      <c r="H110" s="195">
        <f>SUM(H111)</f>
        <v>10</v>
      </c>
      <c r="I110" s="196"/>
      <c r="J110" s="196"/>
      <c r="K110" s="313"/>
      <c r="L110" s="53"/>
      <c r="M110" s="54"/>
      <c r="N110" s="193"/>
    </row>
    <row r="111" spans="2:14" x14ac:dyDescent="0.25">
      <c r="B111" s="308"/>
      <c r="C111" s="48" t="s">
        <v>29</v>
      </c>
      <c r="D111" s="49" t="s">
        <v>102</v>
      </c>
      <c r="E111" s="49">
        <v>1</v>
      </c>
      <c r="F111" s="49">
        <v>1</v>
      </c>
      <c r="G111" s="50">
        <f>(20*E97)/8</f>
        <v>10</v>
      </c>
      <c r="H111" s="51">
        <f t="shared" ref="H111" si="26">G111*E111*F111</f>
        <v>10</v>
      </c>
      <c r="I111" s="52"/>
      <c r="J111" s="52"/>
      <c r="K111" s="313"/>
      <c r="L111" s="53"/>
      <c r="M111" s="54"/>
      <c r="N111" s="193"/>
    </row>
    <row r="112" spans="2:14" x14ac:dyDescent="0.25">
      <c r="B112" s="308"/>
      <c r="C112" s="310" t="s">
        <v>281</v>
      </c>
      <c r="D112" s="311"/>
      <c r="E112" s="311"/>
      <c r="F112" s="311"/>
      <c r="G112" s="311"/>
      <c r="H112" s="195">
        <f>SUM(H113)</f>
        <v>30</v>
      </c>
      <c r="I112" s="196"/>
      <c r="J112" s="196"/>
      <c r="K112" s="313"/>
      <c r="L112" s="53"/>
      <c r="M112" s="54"/>
      <c r="N112" s="193"/>
    </row>
    <row r="113" spans="2:14" x14ac:dyDescent="0.25">
      <c r="B113" s="308"/>
      <c r="C113" s="48" t="s">
        <v>22</v>
      </c>
      <c r="D113" s="49" t="s">
        <v>94</v>
      </c>
      <c r="E113" s="49">
        <v>1</v>
      </c>
      <c r="F113" s="49">
        <v>1</v>
      </c>
      <c r="G113" s="50">
        <v>30</v>
      </c>
      <c r="H113" s="51">
        <f t="shared" ref="H113" si="27">G113*E113*F113</f>
        <v>30</v>
      </c>
      <c r="I113" s="52"/>
      <c r="J113" s="52"/>
      <c r="K113" s="313"/>
      <c r="L113" s="53"/>
      <c r="M113" s="54"/>
      <c r="N113" s="193"/>
    </row>
    <row r="114" spans="2:14" x14ac:dyDescent="0.25">
      <c r="B114" s="308"/>
      <c r="C114" s="315" t="s">
        <v>25</v>
      </c>
      <c r="D114" s="315"/>
      <c r="E114" s="315"/>
      <c r="F114" s="315"/>
      <c r="G114" s="315"/>
      <c r="H114" s="55">
        <f>SUM(H96,H99,H103,H107,H110,H112)</f>
        <v>209.5</v>
      </c>
      <c r="I114" s="52"/>
      <c r="J114" s="52"/>
      <c r="K114" s="313"/>
      <c r="L114" s="53"/>
      <c r="M114" s="54"/>
      <c r="N114" s="193"/>
    </row>
    <row r="115" spans="2:14" x14ac:dyDescent="0.25">
      <c r="B115" s="309"/>
      <c r="C115" s="316" t="s">
        <v>24</v>
      </c>
      <c r="D115" s="317"/>
      <c r="E115" s="317"/>
      <c r="F115" s="318"/>
      <c r="G115" s="56">
        <f>G92</f>
        <v>11.55</v>
      </c>
      <c r="H115" s="55">
        <f>ROUNDUP((H114/G115),0)</f>
        <v>19</v>
      </c>
      <c r="I115" s="52"/>
      <c r="J115" s="52"/>
      <c r="K115" s="314"/>
      <c r="L115" s="57"/>
      <c r="M115" s="58"/>
      <c r="N115" s="193"/>
    </row>
    <row r="117" spans="2:14" x14ac:dyDescent="0.25">
      <c r="B117" s="327" t="str">
        <f>MQT!A15</f>
        <v>2.3</v>
      </c>
      <c r="C117" s="327" t="s">
        <v>19</v>
      </c>
      <c r="D117" s="327" t="s">
        <v>14</v>
      </c>
      <c r="E117" s="329" t="s">
        <v>1</v>
      </c>
      <c r="F117" s="330"/>
      <c r="G117" s="319" t="s">
        <v>20</v>
      </c>
      <c r="H117" s="319" t="s">
        <v>21</v>
      </c>
      <c r="I117" s="321" t="s">
        <v>96</v>
      </c>
      <c r="J117" s="322"/>
      <c r="K117" s="323" t="s">
        <v>84</v>
      </c>
      <c r="L117" s="325" t="s">
        <v>85</v>
      </c>
      <c r="M117" s="326"/>
      <c r="N117" s="319" t="s">
        <v>28</v>
      </c>
    </row>
    <row r="118" spans="2:14" x14ac:dyDescent="0.25">
      <c r="B118" s="328"/>
      <c r="C118" s="328"/>
      <c r="D118" s="328"/>
      <c r="E118" s="59" t="s">
        <v>104</v>
      </c>
      <c r="F118" s="45" t="s">
        <v>103</v>
      </c>
      <c r="G118" s="320"/>
      <c r="H118" s="320"/>
      <c r="I118" s="91" t="s">
        <v>100</v>
      </c>
      <c r="J118" s="92" t="s">
        <v>99</v>
      </c>
      <c r="K118" s="324"/>
      <c r="L118" s="47" t="s">
        <v>101</v>
      </c>
      <c r="M118" s="61" t="s">
        <v>283</v>
      </c>
      <c r="N118" s="320"/>
    </row>
    <row r="119" spans="2:14" x14ac:dyDescent="0.25">
      <c r="B119" s="307" t="str">
        <f>MQT!B15</f>
        <v>Fornecimento de Sanca HOMESTAR A5 200X3.5X3.5cm em todo perimetro do teto falso.</v>
      </c>
      <c r="C119" s="310" t="s">
        <v>153</v>
      </c>
      <c r="D119" s="311"/>
      <c r="E119" s="311"/>
      <c r="F119" s="311"/>
      <c r="G119" s="311"/>
      <c r="H119" s="195">
        <f>SUM(H120:H121)</f>
        <v>108</v>
      </c>
      <c r="I119" s="196"/>
      <c r="J119" s="196"/>
      <c r="K119" s="312">
        <f>((E120+E121)/2)/8</f>
        <v>0.5</v>
      </c>
      <c r="L119" s="53"/>
      <c r="M119" s="54"/>
      <c r="N119" s="193"/>
    </row>
    <row r="120" spans="2:14" x14ac:dyDescent="0.25">
      <c r="B120" s="308"/>
      <c r="C120" s="48" t="s">
        <v>26</v>
      </c>
      <c r="D120" s="49" t="s">
        <v>92</v>
      </c>
      <c r="E120" s="49">
        <v>4</v>
      </c>
      <c r="F120" s="49">
        <v>1</v>
      </c>
      <c r="G120" s="50">
        <v>15</v>
      </c>
      <c r="H120" s="51">
        <f>G120*E120*F120</f>
        <v>60</v>
      </c>
      <c r="I120" s="52"/>
      <c r="J120" s="52"/>
      <c r="K120" s="313"/>
      <c r="L120" s="53"/>
      <c r="N120" s="193"/>
    </row>
    <row r="121" spans="2:14" x14ac:dyDescent="0.25">
      <c r="B121" s="308"/>
      <c r="C121" s="48" t="s">
        <v>27</v>
      </c>
      <c r="D121" s="49" t="s">
        <v>92</v>
      </c>
      <c r="E121" s="49">
        <v>4</v>
      </c>
      <c r="F121" s="49">
        <v>1</v>
      </c>
      <c r="G121" s="50">
        <v>12</v>
      </c>
      <c r="H121" s="51">
        <f t="shared" ref="H121" si="28">G121*E121*F121</f>
        <v>48</v>
      </c>
      <c r="I121" s="52"/>
      <c r="J121" s="52"/>
      <c r="K121" s="313"/>
      <c r="L121" s="44"/>
      <c r="M121" s="60"/>
      <c r="N121" s="193"/>
    </row>
    <row r="122" spans="2:14" x14ac:dyDescent="0.25">
      <c r="B122" s="308"/>
      <c r="C122" s="310" t="s">
        <v>155</v>
      </c>
      <c r="D122" s="311"/>
      <c r="E122" s="311"/>
      <c r="F122" s="311"/>
      <c r="G122" s="311"/>
      <c r="H122" s="195">
        <f>SUM(H123:H125)</f>
        <v>20.490000000000002</v>
      </c>
      <c r="I122" s="196"/>
      <c r="J122" s="196"/>
      <c r="K122" s="313"/>
      <c r="L122" s="44"/>
      <c r="M122" s="60"/>
      <c r="N122" s="193"/>
    </row>
    <row r="123" spans="2:14" x14ac:dyDescent="0.25">
      <c r="B123" s="308"/>
      <c r="C123" s="48" t="s">
        <v>338</v>
      </c>
      <c r="D123" s="49" t="s">
        <v>88</v>
      </c>
      <c r="E123" s="49">
        <v>1</v>
      </c>
      <c r="F123" s="49">
        <v>9</v>
      </c>
      <c r="G123" s="50">
        <v>1.39</v>
      </c>
      <c r="H123" s="51">
        <f t="shared" ref="H123:H125" si="29">G123*E123*F123</f>
        <v>12.51</v>
      </c>
      <c r="I123" s="52"/>
      <c r="J123" s="52"/>
      <c r="K123" s="313"/>
      <c r="L123" s="53"/>
      <c r="M123" s="54"/>
      <c r="N123" s="193"/>
    </row>
    <row r="124" spans="2:14" x14ac:dyDescent="0.25">
      <c r="B124" s="308"/>
      <c r="C124" s="48" t="s">
        <v>339</v>
      </c>
      <c r="D124" s="49" t="s">
        <v>88</v>
      </c>
      <c r="E124" s="49">
        <v>1</v>
      </c>
      <c r="F124" s="49">
        <v>2</v>
      </c>
      <c r="G124" s="50">
        <v>3.99</v>
      </c>
      <c r="H124" s="51">
        <f t="shared" si="29"/>
        <v>7.98</v>
      </c>
      <c r="I124" s="52"/>
      <c r="J124" s="52"/>
      <c r="K124" s="313"/>
      <c r="L124" s="53"/>
      <c r="M124" s="54"/>
      <c r="N124" s="193"/>
    </row>
    <row r="125" spans="2:14" x14ac:dyDescent="0.25">
      <c r="B125" s="308"/>
      <c r="C125" s="48"/>
      <c r="D125" s="49"/>
      <c r="E125" s="49"/>
      <c r="F125" s="49"/>
      <c r="G125" s="50"/>
      <c r="H125" s="51">
        <f t="shared" si="29"/>
        <v>0</v>
      </c>
      <c r="I125" s="52"/>
      <c r="J125" s="52"/>
      <c r="K125" s="313"/>
      <c r="L125" s="53"/>
      <c r="M125" s="54"/>
      <c r="N125" s="193"/>
    </row>
    <row r="126" spans="2:14" x14ac:dyDescent="0.25">
      <c r="B126" s="308"/>
      <c r="C126" s="310" t="s">
        <v>280</v>
      </c>
      <c r="D126" s="311"/>
      <c r="E126" s="311"/>
      <c r="F126" s="311"/>
      <c r="G126" s="311"/>
      <c r="H126" s="195">
        <f>SUM(H127:H129)</f>
        <v>0</v>
      </c>
      <c r="I126" s="196"/>
      <c r="J126" s="196"/>
      <c r="K126" s="313"/>
      <c r="L126" s="53"/>
      <c r="M126" s="54"/>
      <c r="N126" s="193"/>
    </row>
    <row r="127" spans="2:14" x14ac:dyDescent="0.25">
      <c r="B127" s="308"/>
      <c r="C127" s="48" t="s">
        <v>89</v>
      </c>
      <c r="D127" s="49" t="s">
        <v>102</v>
      </c>
      <c r="E127" s="49">
        <v>1</v>
      </c>
      <c r="F127" s="49">
        <v>0</v>
      </c>
      <c r="G127" s="50">
        <v>25</v>
      </c>
      <c r="H127" s="51">
        <f t="shared" ref="H127:H128" si="30">G127*E127*F127</f>
        <v>0</v>
      </c>
      <c r="I127" s="52"/>
      <c r="J127" s="52"/>
      <c r="K127" s="313"/>
      <c r="L127" s="53"/>
      <c r="M127" s="54"/>
      <c r="N127" s="193"/>
    </row>
    <row r="128" spans="2:14" x14ac:dyDescent="0.25">
      <c r="B128" s="308"/>
      <c r="C128" s="48" t="s">
        <v>90</v>
      </c>
      <c r="D128" s="49" t="s">
        <v>282</v>
      </c>
      <c r="E128" s="49">
        <v>1</v>
      </c>
      <c r="F128" s="49">
        <v>0</v>
      </c>
      <c r="G128" s="50">
        <v>4</v>
      </c>
      <c r="H128" s="51">
        <f t="shared" si="30"/>
        <v>0</v>
      </c>
      <c r="I128" s="52"/>
      <c r="J128" s="52"/>
      <c r="K128" s="313"/>
      <c r="L128" s="53"/>
      <c r="M128" s="54"/>
      <c r="N128" s="193"/>
    </row>
    <row r="129" spans="2:14" x14ac:dyDescent="0.25">
      <c r="B129" s="308"/>
      <c r="C129" s="48"/>
      <c r="D129" s="49"/>
      <c r="E129" s="49"/>
      <c r="F129" s="49"/>
      <c r="G129" s="50"/>
      <c r="H129" s="51"/>
      <c r="I129" s="52"/>
      <c r="J129" s="52"/>
      <c r="K129" s="313"/>
      <c r="L129" s="53"/>
      <c r="M129" s="54"/>
      <c r="N129" s="193"/>
    </row>
    <row r="130" spans="2:14" x14ac:dyDescent="0.25">
      <c r="B130" s="308"/>
      <c r="C130" s="310" t="s">
        <v>85</v>
      </c>
      <c r="D130" s="311"/>
      <c r="E130" s="311"/>
      <c r="F130" s="311"/>
      <c r="G130" s="311"/>
      <c r="H130" s="195">
        <f>SUM(H131:H132)</f>
        <v>17</v>
      </c>
      <c r="I130" s="196"/>
      <c r="J130" s="196"/>
      <c r="K130" s="313"/>
      <c r="L130" s="197" t="s">
        <v>284</v>
      </c>
      <c r="M130" s="198">
        <f>2*5*0.02*1.1</f>
        <v>0.22000000000000003</v>
      </c>
      <c r="N130" s="193"/>
    </row>
    <row r="131" spans="2:14" x14ac:dyDescent="0.25">
      <c r="B131" s="308"/>
      <c r="C131" s="48" t="s">
        <v>85</v>
      </c>
      <c r="D131" s="49" t="s">
        <v>94</v>
      </c>
      <c r="E131" s="49">
        <f>ROUNDUP((SUM(M119:M138)/300),0)</f>
        <v>1</v>
      </c>
      <c r="F131" s="49">
        <v>1</v>
      </c>
      <c r="G131" s="50">
        <v>5</v>
      </c>
      <c r="H131" s="51">
        <f t="shared" ref="H131:H132" si="31">G131*E131*F131</f>
        <v>5</v>
      </c>
      <c r="I131" s="52"/>
      <c r="J131" s="52"/>
      <c r="K131" s="313"/>
      <c r="L131" s="53"/>
      <c r="M131" s="54"/>
      <c r="N131" s="193"/>
    </row>
    <row r="132" spans="2:14" x14ac:dyDescent="0.25">
      <c r="B132" s="308"/>
      <c r="C132" s="48" t="s">
        <v>91</v>
      </c>
      <c r="D132" s="49" t="s">
        <v>92</v>
      </c>
      <c r="E132" s="49">
        <v>1</v>
      </c>
      <c r="F132" s="49">
        <v>1</v>
      </c>
      <c r="G132" s="50">
        <v>12</v>
      </c>
      <c r="H132" s="51">
        <f t="shared" si="31"/>
        <v>12</v>
      </c>
      <c r="I132" s="52"/>
      <c r="J132" s="52"/>
      <c r="K132" s="313"/>
      <c r="L132" s="53"/>
      <c r="M132" s="54"/>
      <c r="N132" s="193"/>
    </row>
    <row r="133" spans="2:14" x14ac:dyDescent="0.25">
      <c r="B133" s="308"/>
      <c r="C133" s="310" t="s">
        <v>157</v>
      </c>
      <c r="D133" s="311"/>
      <c r="E133" s="311"/>
      <c r="F133" s="311"/>
      <c r="G133" s="311"/>
      <c r="H133" s="195">
        <f>SUM(H134)</f>
        <v>10</v>
      </c>
      <c r="I133" s="196"/>
      <c r="J133" s="196"/>
      <c r="K133" s="313"/>
      <c r="L133" s="53"/>
      <c r="M133" s="54"/>
      <c r="N133" s="193"/>
    </row>
    <row r="134" spans="2:14" x14ac:dyDescent="0.25">
      <c r="B134" s="308"/>
      <c r="C134" s="48" t="s">
        <v>29</v>
      </c>
      <c r="D134" s="49" t="s">
        <v>102</v>
      </c>
      <c r="E134" s="49">
        <v>1</v>
      </c>
      <c r="F134" s="49">
        <v>1</v>
      </c>
      <c r="G134" s="50">
        <f>(20*E120)/8</f>
        <v>10</v>
      </c>
      <c r="H134" s="51">
        <f t="shared" ref="H134" si="32">G134*E134*F134</f>
        <v>10</v>
      </c>
      <c r="I134" s="52"/>
      <c r="J134" s="52"/>
      <c r="K134" s="313"/>
      <c r="L134" s="53"/>
      <c r="M134" s="54"/>
      <c r="N134" s="193"/>
    </row>
    <row r="135" spans="2:14" x14ac:dyDescent="0.25">
      <c r="B135" s="308"/>
      <c r="C135" s="310" t="s">
        <v>281</v>
      </c>
      <c r="D135" s="311"/>
      <c r="E135" s="311"/>
      <c r="F135" s="311"/>
      <c r="G135" s="311"/>
      <c r="H135" s="195">
        <f>SUM(H136)</f>
        <v>10</v>
      </c>
      <c r="I135" s="196"/>
      <c r="J135" s="196"/>
      <c r="K135" s="313"/>
      <c r="L135" s="53"/>
      <c r="M135" s="54"/>
      <c r="N135" s="193"/>
    </row>
    <row r="136" spans="2:14" x14ac:dyDescent="0.25">
      <c r="B136" s="308"/>
      <c r="C136" s="48" t="s">
        <v>22</v>
      </c>
      <c r="D136" s="49" t="s">
        <v>94</v>
      </c>
      <c r="E136" s="49">
        <v>1</v>
      </c>
      <c r="F136" s="49">
        <v>1</v>
      </c>
      <c r="G136" s="50">
        <v>10</v>
      </c>
      <c r="H136" s="51">
        <f t="shared" ref="H136" si="33">G136*E136*F136</f>
        <v>10</v>
      </c>
      <c r="I136" s="52"/>
      <c r="J136" s="52"/>
      <c r="K136" s="313"/>
      <c r="L136" s="53"/>
      <c r="M136" s="54"/>
      <c r="N136" s="193"/>
    </row>
    <row r="137" spans="2:14" x14ac:dyDescent="0.25">
      <c r="B137" s="308"/>
      <c r="C137" s="315" t="s">
        <v>25</v>
      </c>
      <c r="D137" s="315"/>
      <c r="E137" s="315"/>
      <c r="F137" s="315"/>
      <c r="G137" s="315"/>
      <c r="H137" s="55">
        <f>SUM(H119,H122,H126,H130,H133,H135)</f>
        <v>165.49</v>
      </c>
      <c r="I137" s="52"/>
      <c r="J137" s="52"/>
      <c r="K137" s="313"/>
      <c r="L137" s="53"/>
      <c r="M137" s="54"/>
      <c r="N137" s="193"/>
    </row>
    <row r="138" spans="2:14" x14ac:dyDescent="0.25">
      <c r="B138" s="309"/>
      <c r="C138" s="316" t="s">
        <v>183</v>
      </c>
      <c r="D138" s="317"/>
      <c r="E138" s="317"/>
      <c r="F138" s="318"/>
      <c r="G138" s="56">
        <v>18</v>
      </c>
      <c r="H138" s="55">
        <f>ROUNDUP((H137/G138),0)</f>
        <v>10</v>
      </c>
      <c r="I138" s="52"/>
      <c r="J138" s="52"/>
      <c r="K138" s="314"/>
      <c r="L138" s="57"/>
      <c r="M138" s="58"/>
      <c r="N138" s="193"/>
    </row>
    <row r="139" spans="2:14" ht="15.75" thickBot="1" x14ac:dyDescent="0.3"/>
    <row r="140" spans="2:14" x14ac:dyDescent="0.25">
      <c r="B140" s="346" t="s">
        <v>0</v>
      </c>
      <c r="C140" s="348" t="s">
        <v>19</v>
      </c>
      <c r="D140" s="348" t="s">
        <v>14</v>
      </c>
      <c r="E140" s="349" t="s">
        <v>1</v>
      </c>
      <c r="F140" s="350"/>
      <c r="G140" s="341" t="s">
        <v>20</v>
      </c>
      <c r="H140" s="339" t="s">
        <v>21</v>
      </c>
      <c r="J140" s="333" t="s">
        <v>292</v>
      </c>
      <c r="K140" s="337" t="s">
        <v>300</v>
      </c>
      <c r="L140" s="335" t="s">
        <v>293</v>
      </c>
      <c r="M140" s="331" t="s">
        <v>294</v>
      </c>
    </row>
    <row r="141" spans="2:14" x14ac:dyDescent="0.25">
      <c r="B141" s="347"/>
      <c r="C141" s="328"/>
      <c r="D141" s="328"/>
      <c r="E141" s="192" t="s">
        <v>268</v>
      </c>
      <c r="F141" s="45" t="s">
        <v>269</v>
      </c>
      <c r="G141" s="320"/>
      <c r="H141" s="340"/>
      <c r="J141" s="334"/>
      <c r="K141" s="338"/>
      <c r="L141" s="336"/>
      <c r="M141" s="332"/>
    </row>
    <row r="142" spans="2:14" x14ac:dyDescent="0.25">
      <c r="B142" s="342" t="s">
        <v>153</v>
      </c>
      <c r="C142" s="48" t="s">
        <v>295</v>
      </c>
      <c r="D142" s="49" t="s">
        <v>92</v>
      </c>
      <c r="E142" s="49">
        <f>E5+E28+E51+E74+E97+E120</f>
        <v>32</v>
      </c>
      <c r="F142" s="49">
        <v>1</v>
      </c>
      <c r="G142" s="50">
        <v>15</v>
      </c>
      <c r="H142" s="82">
        <f t="shared" ref="H142:H147" si="34">G142*F142*E142</f>
        <v>480</v>
      </c>
      <c r="J142" s="222">
        <v>15</v>
      </c>
      <c r="K142" s="224">
        <v>32</v>
      </c>
      <c r="L142" s="226">
        <f>K142*J142</f>
        <v>480</v>
      </c>
      <c r="M142" s="220"/>
    </row>
    <row r="143" spans="2:14" x14ac:dyDescent="0.25">
      <c r="B143" s="342"/>
      <c r="C143" s="216" t="s">
        <v>296</v>
      </c>
      <c r="D143" s="217" t="s">
        <v>92</v>
      </c>
      <c r="E143" s="217">
        <f>E6+E29+E52+E75+E98+E121</f>
        <v>32</v>
      </c>
      <c r="F143" s="217">
        <v>1</v>
      </c>
      <c r="G143" s="218">
        <v>12</v>
      </c>
      <c r="H143" s="219">
        <f t="shared" si="34"/>
        <v>384</v>
      </c>
      <c r="J143" s="222">
        <v>6.25</v>
      </c>
      <c r="K143" s="224">
        <v>32</v>
      </c>
      <c r="L143" s="226">
        <f>K143*J143</f>
        <v>200</v>
      </c>
      <c r="M143" s="220"/>
    </row>
    <row r="144" spans="2:14" x14ac:dyDescent="0.25">
      <c r="B144" s="342"/>
      <c r="C144" s="48" t="s">
        <v>297</v>
      </c>
      <c r="D144" s="49" t="s">
        <v>92</v>
      </c>
      <c r="E144" s="49"/>
      <c r="F144" s="49">
        <v>1</v>
      </c>
      <c r="G144" s="50">
        <v>17</v>
      </c>
      <c r="H144" s="82">
        <f t="shared" si="34"/>
        <v>0</v>
      </c>
      <c r="J144" s="222"/>
      <c r="K144" s="224"/>
      <c r="L144" s="226"/>
      <c r="M144" s="220"/>
    </row>
    <row r="145" spans="2:13" x14ac:dyDescent="0.25">
      <c r="B145" s="342"/>
      <c r="C145" s="216" t="s">
        <v>296</v>
      </c>
      <c r="D145" s="217" t="s">
        <v>92</v>
      </c>
      <c r="E145" s="217"/>
      <c r="F145" s="217">
        <v>1</v>
      </c>
      <c r="G145" s="218">
        <v>12</v>
      </c>
      <c r="H145" s="219">
        <f t="shared" si="34"/>
        <v>0</v>
      </c>
      <c r="J145" s="222"/>
      <c r="K145" s="224"/>
      <c r="L145" s="226"/>
      <c r="M145" s="220"/>
    </row>
    <row r="146" spans="2:13" x14ac:dyDescent="0.25">
      <c r="B146" s="342"/>
      <c r="C146" s="48" t="s">
        <v>298</v>
      </c>
      <c r="D146" s="49" t="s">
        <v>92</v>
      </c>
      <c r="E146" s="49"/>
      <c r="F146" s="49">
        <v>1</v>
      </c>
      <c r="G146" s="50">
        <v>17</v>
      </c>
      <c r="H146" s="82">
        <f t="shared" si="34"/>
        <v>0</v>
      </c>
      <c r="J146" s="222"/>
      <c r="K146" s="224"/>
      <c r="L146" s="226"/>
      <c r="M146" s="220"/>
    </row>
    <row r="147" spans="2:13" ht="15.75" thickBot="1" x14ac:dyDescent="0.3">
      <c r="B147" s="342"/>
      <c r="C147" s="216" t="s">
        <v>299</v>
      </c>
      <c r="D147" s="217" t="s">
        <v>92</v>
      </c>
      <c r="E147" s="217"/>
      <c r="F147" s="217">
        <v>1</v>
      </c>
      <c r="G147" s="218">
        <v>12</v>
      </c>
      <c r="H147" s="219">
        <f t="shared" si="34"/>
        <v>0</v>
      </c>
      <c r="J147" s="223"/>
      <c r="K147" s="225"/>
      <c r="L147" s="227"/>
      <c r="M147" s="221"/>
    </row>
    <row r="148" spans="2:13" x14ac:dyDescent="0.25">
      <c r="B148" s="342"/>
      <c r="C148" s="315" t="s">
        <v>25</v>
      </c>
      <c r="D148" s="315"/>
      <c r="E148" s="315"/>
      <c r="F148" s="315"/>
      <c r="G148" s="315"/>
      <c r="H148" s="83">
        <f>SUM(H142:H143)</f>
        <v>864</v>
      </c>
    </row>
    <row r="149" spans="2:13" ht="15.75" thickBot="1" x14ac:dyDescent="0.3">
      <c r="B149" s="343"/>
      <c r="C149" s="344" t="s">
        <v>223</v>
      </c>
      <c r="D149" s="345"/>
      <c r="E149" s="344" t="s">
        <v>278</v>
      </c>
      <c r="F149" s="345"/>
      <c r="G149" s="84">
        <v>1</v>
      </c>
      <c r="H149" s="85">
        <f>ROUNDUP((H148/G149),0)</f>
        <v>864</v>
      </c>
    </row>
    <row r="150" spans="2:13" ht="15.75" thickBot="1" x14ac:dyDescent="0.3">
      <c r="B150" s="41"/>
      <c r="C150" s="41"/>
      <c r="D150" s="41"/>
      <c r="E150" s="41"/>
      <c r="F150" s="41"/>
      <c r="G150" s="42"/>
      <c r="H150" s="42"/>
      <c r="J150" s="351" t="s">
        <v>324</v>
      </c>
      <c r="K150" s="352"/>
      <c r="L150" s="352"/>
      <c r="M150" s="353"/>
    </row>
    <row r="151" spans="2:13" ht="15" customHeight="1" x14ac:dyDescent="0.25">
      <c r="B151" s="346" t="s">
        <v>0</v>
      </c>
      <c r="C151" s="348" t="s">
        <v>19</v>
      </c>
      <c r="D151" s="348" t="s">
        <v>14</v>
      </c>
      <c r="E151" s="349" t="s">
        <v>1</v>
      </c>
      <c r="F151" s="350"/>
      <c r="G151" s="341" t="s">
        <v>20</v>
      </c>
      <c r="H151" s="339" t="s">
        <v>270</v>
      </c>
      <c r="J151" s="333" t="s">
        <v>0</v>
      </c>
      <c r="K151" s="337" t="s">
        <v>319</v>
      </c>
      <c r="L151" s="335" t="s">
        <v>321</v>
      </c>
      <c r="M151" s="361" t="s">
        <v>320</v>
      </c>
    </row>
    <row r="152" spans="2:13" x14ac:dyDescent="0.25">
      <c r="B152" s="347"/>
      <c r="C152" s="328"/>
      <c r="D152" s="328"/>
      <c r="E152" s="192" t="s">
        <v>104</v>
      </c>
      <c r="F152" s="45" t="s">
        <v>103</v>
      </c>
      <c r="G152" s="320"/>
      <c r="H152" s="340"/>
      <c r="J152" s="334"/>
      <c r="K152" s="338"/>
      <c r="L152" s="336"/>
      <c r="M152" s="362"/>
    </row>
    <row r="153" spans="2:13" x14ac:dyDescent="0.25">
      <c r="B153" s="342" t="s">
        <v>156</v>
      </c>
      <c r="C153" s="48" t="s">
        <v>273</v>
      </c>
      <c r="D153" s="49" t="s">
        <v>94</v>
      </c>
      <c r="E153" s="49">
        <v>1</v>
      </c>
      <c r="F153" s="49">
        <v>1</v>
      </c>
      <c r="G153" s="50" t="s">
        <v>261</v>
      </c>
      <c r="H153" s="82">
        <f>H7+H30+H53+H76+H99+H122</f>
        <v>382.20000000000005</v>
      </c>
      <c r="J153" s="244" t="s">
        <v>312</v>
      </c>
      <c r="K153" s="243">
        <v>0.27</v>
      </c>
      <c r="L153" s="358">
        <f>((6*2*($L$160/8))+(3*2*2))</f>
        <v>60</v>
      </c>
      <c r="M153" s="249">
        <f>$L$153*K153</f>
        <v>16.200000000000003</v>
      </c>
    </row>
    <row r="154" spans="2:13" x14ac:dyDescent="0.25">
      <c r="B154" s="342"/>
      <c r="C154" s="48" t="s">
        <v>272</v>
      </c>
      <c r="D154" s="49" t="s">
        <v>94</v>
      </c>
      <c r="E154" s="49">
        <v>1</v>
      </c>
      <c r="F154" s="49">
        <v>1</v>
      </c>
      <c r="G154" s="50" t="s">
        <v>261</v>
      </c>
      <c r="H154" s="82"/>
      <c r="J154" s="245" t="s">
        <v>313</v>
      </c>
      <c r="K154" s="243">
        <f>232.5/2500</f>
        <v>9.2999999999999999E-2</v>
      </c>
      <c r="L154" s="359"/>
      <c r="M154" s="249">
        <f>$L$153*K154</f>
        <v>5.58</v>
      </c>
    </row>
    <row r="155" spans="2:13" x14ac:dyDescent="0.25">
      <c r="B155" s="342"/>
      <c r="C155" s="48" t="s">
        <v>85</v>
      </c>
      <c r="D155" s="49" t="s">
        <v>94</v>
      </c>
      <c r="E155" s="49">
        <v>1</v>
      </c>
      <c r="F155" s="49">
        <v>1</v>
      </c>
      <c r="G155" s="50" t="s">
        <v>261</v>
      </c>
      <c r="H155" s="82">
        <f>H15+H38+H61+H84+H107+H130</f>
        <v>90</v>
      </c>
      <c r="J155" s="245" t="s">
        <v>314</v>
      </c>
      <c r="K155" s="243">
        <f>(715*2)/26000</f>
        <v>5.5E-2</v>
      </c>
      <c r="L155" s="359"/>
      <c r="M155" s="249">
        <f>$L$153*K155</f>
        <v>3.3</v>
      </c>
    </row>
    <row r="156" spans="2:13" x14ac:dyDescent="0.25">
      <c r="B156" s="342"/>
      <c r="C156" s="48" t="s">
        <v>271</v>
      </c>
      <c r="D156" s="49" t="s">
        <v>94</v>
      </c>
      <c r="E156" s="49">
        <v>1</v>
      </c>
      <c r="F156" s="49">
        <v>1</v>
      </c>
      <c r="G156" s="50" t="s">
        <v>261</v>
      </c>
      <c r="H156" s="82">
        <f>H18+H41+H64+H87+H110+H133</f>
        <v>80</v>
      </c>
      <c r="J156" s="245" t="s">
        <v>315</v>
      </c>
      <c r="K156" s="243">
        <f>2000/26000</f>
        <v>7.6923076923076927E-2</v>
      </c>
      <c r="L156" s="359"/>
      <c r="M156" s="249">
        <f t="shared" ref="M156:M158" si="35">$L$153*K156</f>
        <v>4.6153846153846159</v>
      </c>
    </row>
    <row r="157" spans="2:13" x14ac:dyDescent="0.25">
      <c r="B157" s="342"/>
      <c r="C157" s="48" t="s">
        <v>22</v>
      </c>
      <c r="D157" s="49" t="s">
        <v>94</v>
      </c>
      <c r="E157" s="49">
        <v>1</v>
      </c>
      <c r="F157" s="49">
        <v>1</v>
      </c>
      <c r="G157" s="50" t="s">
        <v>261</v>
      </c>
      <c r="H157" s="82">
        <f>H20+H43+H66+H89+H112+H135</f>
        <v>100</v>
      </c>
      <c r="J157" s="245" t="s">
        <v>316</v>
      </c>
      <c r="K157" s="243">
        <f>190/26000</f>
        <v>7.3076923076923076E-3</v>
      </c>
      <c r="L157" s="359"/>
      <c r="M157" s="249">
        <f t="shared" si="35"/>
        <v>0.43846153846153846</v>
      </c>
    </row>
    <row r="158" spans="2:13" ht="15.75" thickBot="1" x14ac:dyDescent="0.3">
      <c r="B158" s="342"/>
      <c r="C158" s="315" t="s">
        <v>25</v>
      </c>
      <c r="D158" s="315"/>
      <c r="E158" s="315"/>
      <c r="F158" s="315"/>
      <c r="G158" s="315"/>
      <c r="H158" s="83">
        <f>SUM(H153:H156)</f>
        <v>552.20000000000005</v>
      </c>
      <c r="J158" s="246" t="s">
        <v>317</v>
      </c>
      <c r="K158" s="252">
        <f>50/26000</f>
        <v>1.9230769230769232E-3</v>
      </c>
      <c r="L158" s="360"/>
      <c r="M158" s="249">
        <f t="shared" si="35"/>
        <v>0.11538461538461539</v>
      </c>
    </row>
    <row r="159" spans="2:13" ht="15.75" thickBot="1" x14ac:dyDescent="0.3">
      <c r="B159" s="343"/>
      <c r="C159" s="344" t="s">
        <v>223</v>
      </c>
      <c r="D159" s="345"/>
      <c r="E159" s="344" t="s">
        <v>278</v>
      </c>
      <c r="F159" s="345"/>
      <c r="G159" s="84">
        <v>1</v>
      </c>
      <c r="H159" s="85">
        <f>ROUNDUP((H158/G159),0)</f>
        <v>553</v>
      </c>
      <c r="J159" s="247" t="s">
        <v>25</v>
      </c>
      <c r="K159" s="248">
        <f>SUM(K153:K158)</f>
        <v>0.50415384615384617</v>
      </c>
      <c r="L159" s="250"/>
      <c r="M159" s="251">
        <f>SUM(M153:M158)</f>
        <v>30.249230769230774</v>
      </c>
    </row>
    <row r="160" spans="2:13" ht="15.75" thickBot="1" x14ac:dyDescent="0.3">
      <c r="J160" s="363" t="s">
        <v>318</v>
      </c>
      <c r="K160" s="364"/>
      <c r="L160" s="365">
        <v>32</v>
      </c>
      <c r="M160" s="366"/>
    </row>
    <row r="161" spans="2:13" x14ac:dyDescent="0.25">
      <c r="B161" s="346" t="s">
        <v>0</v>
      </c>
      <c r="C161" s="348" t="s">
        <v>19</v>
      </c>
      <c r="D161" s="348" t="s">
        <v>14</v>
      </c>
      <c r="E161" s="349" t="s">
        <v>1</v>
      </c>
      <c r="F161" s="350"/>
      <c r="G161" s="341" t="s">
        <v>20</v>
      </c>
      <c r="H161" s="339" t="s">
        <v>270</v>
      </c>
      <c r="L161" s="253" t="s">
        <v>322</v>
      </c>
      <c r="M161" s="254" t="s">
        <v>323</v>
      </c>
    </row>
    <row r="162" spans="2:13" ht="15.75" thickBot="1" x14ac:dyDescent="0.3">
      <c r="B162" s="347"/>
      <c r="C162" s="328"/>
      <c r="D162" s="328"/>
      <c r="E162" s="192" t="s">
        <v>104</v>
      </c>
      <c r="F162" s="45" t="s">
        <v>103</v>
      </c>
      <c r="G162" s="320"/>
      <c r="H162" s="340"/>
      <c r="L162" s="255">
        <f>M153/4</f>
        <v>4.0500000000000007</v>
      </c>
      <c r="M162" s="256">
        <f>M159/20</f>
        <v>1.5124615384615387</v>
      </c>
    </row>
    <row r="163" spans="2:13" x14ac:dyDescent="0.25">
      <c r="B163" s="342" t="s">
        <v>274</v>
      </c>
      <c r="C163" s="48" t="s">
        <v>37</v>
      </c>
      <c r="D163" s="49" t="s">
        <v>94</v>
      </c>
      <c r="E163" s="49">
        <v>1</v>
      </c>
      <c r="F163" s="49">
        <v>1</v>
      </c>
      <c r="G163" s="50" t="s">
        <v>261</v>
      </c>
      <c r="H163" s="82"/>
    </row>
    <row r="164" spans="2:13" ht="15.75" thickBot="1" x14ac:dyDescent="0.3">
      <c r="B164" s="342"/>
      <c r="C164" s="48" t="s">
        <v>275</v>
      </c>
      <c r="D164" s="49" t="s">
        <v>94</v>
      </c>
      <c r="E164" s="49">
        <v>1</v>
      </c>
      <c r="F164" s="49">
        <v>1</v>
      </c>
      <c r="G164" s="50" t="s">
        <v>261</v>
      </c>
      <c r="H164" s="82"/>
    </row>
    <row r="165" spans="2:13" ht="15.75" thickBot="1" x14ac:dyDescent="0.3">
      <c r="B165" s="342"/>
      <c r="C165" s="48" t="s">
        <v>276</v>
      </c>
      <c r="D165" s="49" t="s">
        <v>94</v>
      </c>
      <c r="E165" s="49">
        <v>1</v>
      </c>
      <c r="F165" s="49">
        <v>1</v>
      </c>
      <c r="G165" s="50" t="s">
        <v>261</v>
      </c>
      <c r="H165" s="82"/>
      <c r="J165" s="351" t="s">
        <v>325</v>
      </c>
      <c r="K165" s="352"/>
      <c r="L165" s="352"/>
      <c r="M165" s="353"/>
    </row>
    <row r="166" spans="2:13" x14ac:dyDescent="0.25">
      <c r="B166" s="342"/>
      <c r="C166" s="48" t="s">
        <v>38</v>
      </c>
      <c r="D166" s="49" t="s">
        <v>94</v>
      </c>
      <c r="E166" s="49">
        <v>1</v>
      </c>
      <c r="F166" s="49">
        <v>1</v>
      </c>
      <c r="G166" s="50" t="s">
        <v>261</v>
      </c>
      <c r="H166" s="82"/>
      <c r="J166" s="333" t="s">
        <v>0</v>
      </c>
      <c r="K166" s="337" t="s">
        <v>319</v>
      </c>
      <c r="L166" s="335" t="s">
        <v>321</v>
      </c>
      <c r="M166" s="361" t="s">
        <v>320</v>
      </c>
    </row>
    <row r="167" spans="2:13" x14ac:dyDescent="0.25">
      <c r="B167" s="342"/>
      <c r="C167" s="48" t="s">
        <v>277</v>
      </c>
      <c r="D167" s="49" t="s">
        <v>94</v>
      </c>
      <c r="E167" s="49">
        <v>1</v>
      </c>
      <c r="F167" s="49">
        <v>1</v>
      </c>
      <c r="G167" s="50" t="s">
        <v>261</v>
      </c>
      <c r="H167" s="82"/>
      <c r="J167" s="334"/>
      <c r="K167" s="338"/>
      <c r="L167" s="336"/>
      <c r="M167" s="362"/>
    </row>
    <row r="168" spans="2:13" x14ac:dyDescent="0.25">
      <c r="B168" s="342"/>
      <c r="C168" s="315" t="s">
        <v>25</v>
      </c>
      <c r="D168" s="315"/>
      <c r="E168" s="315"/>
      <c r="F168" s="315"/>
      <c r="G168" s="315"/>
      <c r="H168" s="83">
        <f>SUM(H163:H166)</f>
        <v>0</v>
      </c>
      <c r="J168" s="244" t="s">
        <v>312</v>
      </c>
      <c r="K168" s="243">
        <v>0.27</v>
      </c>
      <c r="L168" s="358">
        <f>((60*2*($L$175/8))+(3*2*5))</f>
        <v>2430</v>
      </c>
      <c r="M168" s="249">
        <f t="shared" ref="M168:M173" si="36">$L$168*K168</f>
        <v>656.1</v>
      </c>
    </row>
    <row r="169" spans="2:13" ht="15.75" thickBot="1" x14ac:dyDescent="0.3">
      <c r="B169" s="343"/>
      <c r="C169" s="344" t="s">
        <v>223</v>
      </c>
      <c r="D169" s="345"/>
      <c r="E169" s="344" t="s">
        <v>278</v>
      </c>
      <c r="F169" s="345"/>
      <c r="G169" s="84">
        <v>1</v>
      </c>
      <c r="H169" s="85">
        <f>ROUNDUP((H168/G169),0)</f>
        <v>0</v>
      </c>
      <c r="J169" s="245" t="s">
        <v>313</v>
      </c>
      <c r="K169" s="243">
        <f>232.5/2500</f>
        <v>9.2999999999999999E-2</v>
      </c>
      <c r="L169" s="359"/>
      <c r="M169" s="249">
        <f t="shared" si="36"/>
        <v>225.99</v>
      </c>
    </row>
    <row r="170" spans="2:13" x14ac:dyDescent="0.25">
      <c r="J170" s="245" t="s">
        <v>314</v>
      </c>
      <c r="K170" s="243">
        <f>(715*2)/26000</f>
        <v>5.5E-2</v>
      </c>
      <c r="L170" s="359"/>
      <c r="M170" s="249">
        <f t="shared" si="36"/>
        <v>133.65</v>
      </c>
    </row>
    <row r="171" spans="2:13" x14ac:dyDescent="0.25">
      <c r="J171" s="245" t="s">
        <v>315</v>
      </c>
      <c r="K171" s="243">
        <f>2000/26000</f>
        <v>7.6923076923076927E-2</v>
      </c>
      <c r="L171" s="359"/>
      <c r="M171" s="249">
        <f t="shared" si="36"/>
        <v>186.92307692307693</v>
      </c>
    </row>
    <row r="172" spans="2:13" x14ac:dyDescent="0.25">
      <c r="J172" s="245" t="s">
        <v>316</v>
      </c>
      <c r="K172" s="243">
        <f>190/26000</f>
        <v>7.3076923076923076E-3</v>
      </c>
      <c r="L172" s="359"/>
      <c r="M172" s="249">
        <f t="shared" si="36"/>
        <v>17.757692307692306</v>
      </c>
    </row>
    <row r="173" spans="2:13" ht="15.75" thickBot="1" x14ac:dyDescent="0.3">
      <c r="J173" s="246" t="s">
        <v>317</v>
      </c>
      <c r="K173" s="252">
        <f>50/26000</f>
        <v>1.9230769230769232E-3</v>
      </c>
      <c r="L173" s="360"/>
      <c r="M173" s="249">
        <f t="shared" si="36"/>
        <v>4.6730769230769234</v>
      </c>
    </row>
    <row r="174" spans="2:13" ht="15.75" thickBot="1" x14ac:dyDescent="0.3">
      <c r="J174" s="247" t="s">
        <v>25</v>
      </c>
      <c r="K174" s="248">
        <f>SUM(K168:K173)</f>
        <v>0.50415384615384617</v>
      </c>
      <c r="L174" s="250"/>
      <c r="M174" s="251">
        <f>SUM(M168:M173)</f>
        <v>1225.093846153846</v>
      </c>
    </row>
    <row r="175" spans="2:13" ht="15.75" thickBot="1" x14ac:dyDescent="0.3">
      <c r="J175" s="354" t="s">
        <v>318</v>
      </c>
      <c r="K175" s="355"/>
      <c r="L175" s="356">
        <v>160</v>
      </c>
      <c r="M175" s="357"/>
    </row>
    <row r="176" spans="2:13" x14ac:dyDescent="0.25">
      <c r="L176" s="253" t="s">
        <v>322</v>
      </c>
      <c r="M176" s="254" t="s">
        <v>323</v>
      </c>
    </row>
    <row r="177" spans="12:13" ht="15.75" thickBot="1" x14ac:dyDescent="0.3">
      <c r="L177" s="255">
        <f>M168/4</f>
        <v>164.02500000000001</v>
      </c>
      <c r="M177" s="256">
        <f>M174/20</f>
        <v>61.254692307692302</v>
      </c>
    </row>
  </sheetData>
  <mergeCells count="170">
    <mergeCell ref="J165:M165"/>
    <mergeCell ref="J175:K175"/>
    <mergeCell ref="L175:M175"/>
    <mergeCell ref="L168:L173"/>
    <mergeCell ref="J166:J167"/>
    <mergeCell ref="K166:K167"/>
    <mergeCell ref="L166:L167"/>
    <mergeCell ref="M166:M167"/>
    <mergeCell ref="J151:J152"/>
    <mergeCell ref="K151:K152"/>
    <mergeCell ref="L151:L152"/>
    <mergeCell ref="M151:M152"/>
    <mergeCell ref="J160:K160"/>
    <mergeCell ref="L160:M160"/>
    <mergeCell ref="L153:L158"/>
    <mergeCell ref="B142:B149"/>
    <mergeCell ref="C148:G148"/>
    <mergeCell ref="C149:D149"/>
    <mergeCell ref="E149:F149"/>
    <mergeCell ref="B140:B141"/>
    <mergeCell ref="C140:C141"/>
    <mergeCell ref="D140:D141"/>
    <mergeCell ref="E140:F140"/>
    <mergeCell ref="J150:M150"/>
    <mergeCell ref="H151:H152"/>
    <mergeCell ref="B153:B159"/>
    <mergeCell ref="C158:G158"/>
    <mergeCell ref="C159:D159"/>
    <mergeCell ref="E159:F159"/>
    <mergeCell ref="B151:B152"/>
    <mergeCell ref="C151:C152"/>
    <mergeCell ref="D151:D152"/>
    <mergeCell ref="E151:F151"/>
    <mergeCell ref="G151:G152"/>
    <mergeCell ref="G161:G162"/>
    <mergeCell ref="H161:H162"/>
    <mergeCell ref="B163:B169"/>
    <mergeCell ref="C168:G168"/>
    <mergeCell ref="C169:D169"/>
    <mergeCell ref="E169:F169"/>
    <mergeCell ref="B161:B162"/>
    <mergeCell ref="C161:C162"/>
    <mergeCell ref="D161:D162"/>
    <mergeCell ref="E161:F161"/>
    <mergeCell ref="B4:B23"/>
    <mergeCell ref="K4:K23"/>
    <mergeCell ref="C22:G22"/>
    <mergeCell ref="C23:F23"/>
    <mergeCell ref="N2:N3"/>
    <mergeCell ref="C4:G4"/>
    <mergeCell ref="C7:G7"/>
    <mergeCell ref="C11:G11"/>
    <mergeCell ref="I2:J2"/>
    <mergeCell ref="K2:K3"/>
    <mergeCell ref="L2:M2"/>
    <mergeCell ref="H2:H3"/>
    <mergeCell ref="B2:B3"/>
    <mergeCell ref="C2:C3"/>
    <mergeCell ref="D2:D3"/>
    <mergeCell ref="E2:F2"/>
    <mergeCell ref="G2:G3"/>
    <mergeCell ref="M140:M141"/>
    <mergeCell ref="J140:J141"/>
    <mergeCell ref="L140:L141"/>
    <mergeCell ref="K140:K141"/>
    <mergeCell ref="C15:G15"/>
    <mergeCell ref="C18:G18"/>
    <mergeCell ref="C20:G20"/>
    <mergeCell ref="H140:H141"/>
    <mergeCell ref="G140:G141"/>
    <mergeCell ref="H25:H26"/>
    <mergeCell ref="I25:J25"/>
    <mergeCell ref="K25:K26"/>
    <mergeCell ref="L25:M25"/>
    <mergeCell ref="H48:H49"/>
    <mergeCell ref="I48:J48"/>
    <mergeCell ref="K48:K49"/>
    <mergeCell ref="N25:N26"/>
    <mergeCell ref="B27:B46"/>
    <mergeCell ref="C27:G27"/>
    <mergeCell ref="K27:K46"/>
    <mergeCell ref="C30:G30"/>
    <mergeCell ref="C34:G34"/>
    <mergeCell ref="C38:G38"/>
    <mergeCell ref="C41:G41"/>
    <mergeCell ref="C43:G43"/>
    <mergeCell ref="C45:G45"/>
    <mergeCell ref="C46:F46"/>
    <mergeCell ref="B25:B26"/>
    <mergeCell ref="C25:C26"/>
    <mergeCell ref="D25:D26"/>
    <mergeCell ref="E25:F25"/>
    <mergeCell ref="G25:G26"/>
    <mergeCell ref="L48:M48"/>
    <mergeCell ref="N48:N49"/>
    <mergeCell ref="B50:B69"/>
    <mergeCell ref="C50:G50"/>
    <mergeCell ref="K50:K69"/>
    <mergeCell ref="C53:G53"/>
    <mergeCell ref="C57:G57"/>
    <mergeCell ref="C61:G61"/>
    <mergeCell ref="C64:G64"/>
    <mergeCell ref="C66:G66"/>
    <mergeCell ref="C68:G68"/>
    <mergeCell ref="C69:F69"/>
    <mergeCell ref="B48:B49"/>
    <mergeCell ref="C48:C49"/>
    <mergeCell ref="D48:D49"/>
    <mergeCell ref="E48:F48"/>
    <mergeCell ref="G48:G49"/>
    <mergeCell ref="H71:H72"/>
    <mergeCell ref="I71:J71"/>
    <mergeCell ref="K71:K72"/>
    <mergeCell ref="L71:M71"/>
    <mergeCell ref="N71:N72"/>
    <mergeCell ref="B71:B72"/>
    <mergeCell ref="C71:C72"/>
    <mergeCell ref="D71:D72"/>
    <mergeCell ref="E71:F71"/>
    <mergeCell ref="G71:G72"/>
    <mergeCell ref="B73:B92"/>
    <mergeCell ref="C73:G73"/>
    <mergeCell ref="K73:K92"/>
    <mergeCell ref="C76:G76"/>
    <mergeCell ref="C80:G80"/>
    <mergeCell ref="C84:G84"/>
    <mergeCell ref="C87:G87"/>
    <mergeCell ref="C89:G89"/>
    <mergeCell ref="C91:G91"/>
    <mergeCell ref="C92:F92"/>
    <mergeCell ref="H94:H95"/>
    <mergeCell ref="I94:J94"/>
    <mergeCell ref="K94:K95"/>
    <mergeCell ref="L94:M94"/>
    <mergeCell ref="N94:N95"/>
    <mergeCell ref="B94:B95"/>
    <mergeCell ref="C94:C95"/>
    <mergeCell ref="D94:D95"/>
    <mergeCell ref="E94:F94"/>
    <mergeCell ref="G94:G95"/>
    <mergeCell ref="B96:B115"/>
    <mergeCell ref="C96:G96"/>
    <mergeCell ref="K96:K115"/>
    <mergeCell ref="C99:G99"/>
    <mergeCell ref="C103:G103"/>
    <mergeCell ref="C107:G107"/>
    <mergeCell ref="C110:G110"/>
    <mergeCell ref="C112:G112"/>
    <mergeCell ref="C114:G114"/>
    <mergeCell ref="C115:F115"/>
    <mergeCell ref="H117:H118"/>
    <mergeCell ref="I117:J117"/>
    <mergeCell ref="K117:K118"/>
    <mergeCell ref="L117:M117"/>
    <mergeCell ref="N117:N118"/>
    <mergeCell ref="B117:B118"/>
    <mergeCell ref="C117:C118"/>
    <mergeCell ref="D117:D118"/>
    <mergeCell ref="E117:F117"/>
    <mergeCell ref="G117:G118"/>
    <mergeCell ref="B119:B138"/>
    <mergeCell ref="C119:G119"/>
    <mergeCell ref="K119:K138"/>
    <mergeCell ref="C122:G122"/>
    <mergeCell ref="C126:G126"/>
    <mergeCell ref="C130:G130"/>
    <mergeCell ref="C133:G133"/>
    <mergeCell ref="C135:G135"/>
    <mergeCell ref="C137:G137"/>
    <mergeCell ref="C138:F138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AFD4-6747-4BB6-B3BF-C73222C59691}">
  <dimension ref="B2:N549"/>
  <sheetViews>
    <sheetView zoomScale="85" zoomScaleNormal="85" workbookViewId="0">
      <selection activeCell="C418" sqref="C418"/>
    </sheetView>
  </sheetViews>
  <sheetFormatPr defaultColWidth="9.140625" defaultRowHeight="15" x14ac:dyDescent="0.25"/>
  <cols>
    <col min="1" max="1" width="9.140625" style="44"/>
    <col min="2" max="2" width="45.5703125" style="41" customWidth="1"/>
    <col min="3" max="3" width="46.7109375" style="41" customWidth="1"/>
    <col min="4" max="4" width="9.140625" style="41"/>
    <col min="5" max="5" width="11.7109375" style="41" customWidth="1"/>
    <col min="6" max="6" width="11.5703125" style="41" bestFit="1" customWidth="1"/>
    <col min="7" max="8" width="13.42578125" style="42" bestFit="1" customWidth="1"/>
    <col min="9" max="10" width="13.140625" style="43" customWidth="1"/>
    <col min="11" max="13" width="16.140625" style="43" customWidth="1"/>
    <col min="14" max="14" width="68.140625" style="42" customWidth="1"/>
    <col min="15" max="16384" width="9.140625" style="44"/>
  </cols>
  <sheetData>
    <row r="2" spans="2:14" x14ac:dyDescent="0.25">
      <c r="B2" s="89" t="s">
        <v>279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spans="2:14" x14ac:dyDescent="0.25">
      <c r="B4" s="327" t="s">
        <v>0</v>
      </c>
      <c r="C4" s="327" t="s">
        <v>19</v>
      </c>
      <c r="D4" s="327" t="s">
        <v>14</v>
      </c>
      <c r="E4" s="329" t="s">
        <v>1</v>
      </c>
      <c r="F4" s="330"/>
      <c r="G4" s="319" t="s">
        <v>20</v>
      </c>
      <c r="H4" s="319" t="s">
        <v>21</v>
      </c>
      <c r="I4" s="321" t="s">
        <v>96</v>
      </c>
      <c r="J4" s="322"/>
      <c r="K4" s="323" t="s">
        <v>84</v>
      </c>
      <c r="L4" s="325" t="s">
        <v>85</v>
      </c>
      <c r="M4" s="326"/>
      <c r="N4" s="46" t="s">
        <v>28</v>
      </c>
    </row>
    <row r="5" spans="2:14" x14ac:dyDescent="0.25">
      <c r="B5" s="328"/>
      <c r="C5" s="328"/>
      <c r="D5" s="328"/>
      <c r="E5" s="59" t="s">
        <v>104</v>
      </c>
      <c r="F5" s="45" t="s">
        <v>103</v>
      </c>
      <c r="G5" s="320"/>
      <c r="H5" s="320"/>
      <c r="I5" s="91" t="s">
        <v>100</v>
      </c>
      <c r="J5" s="92" t="s">
        <v>99</v>
      </c>
      <c r="K5" s="324"/>
      <c r="L5" s="47" t="s">
        <v>101</v>
      </c>
      <c r="M5" s="61" t="s">
        <v>86</v>
      </c>
      <c r="N5" s="46"/>
    </row>
    <row r="6" spans="2:14" x14ac:dyDescent="0.25">
      <c r="B6" s="367" t="s">
        <v>126</v>
      </c>
      <c r="C6" s="48" t="s">
        <v>26</v>
      </c>
      <c r="D6" s="49" t="s">
        <v>92</v>
      </c>
      <c r="E6" s="49">
        <v>4</v>
      </c>
      <c r="F6" s="49">
        <v>1</v>
      </c>
      <c r="G6" s="50">
        <v>17</v>
      </c>
      <c r="H6" s="51">
        <f>G6*E6*F6</f>
        <v>68</v>
      </c>
      <c r="I6" s="52"/>
      <c r="J6" s="52"/>
      <c r="K6" s="312">
        <f>((E6+E7)/2)/8</f>
        <v>0.5</v>
      </c>
      <c r="L6" s="53"/>
      <c r="M6" s="54"/>
      <c r="N6" s="62"/>
    </row>
    <row r="7" spans="2:14" x14ac:dyDescent="0.25">
      <c r="B7" s="367"/>
      <c r="C7" s="48" t="s">
        <v>27</v>
      </c>
      <c r="D7" s="49" t="s">
        <v>92</v>
      </c>
      <c r="E7" s="49">
        <v>4</v>
      </c>
      <c r="F7" s="49">
        <v>1</v>
      </c>
      <c r="G7" s="50">
        <v>12</v>
      </c>
      <c r="H7" s="51">
        <f t="shared" ref="H7:H14" si="0">G7*E7*F7</f>
        <v>48</v>
      </c>
      <c r="I7" s="52"/>
      <c r="J7" s="52"/>
      <c r="K7" s="313"/>
      <c r="L7" s="44"/>
      <c r="M7" s="60"/>
      <c r="N7" s="62"/>
    </row>
    <row r="8" spans="2:14" ht="30" x14ac:dyDescent="0.25">
      <c r="B8" s="367"/>
      <c r="C8" s="48" t="s">
        <v>123</v>
      </c>
      <c r="D8" s="49" t="s">
        <v>102</v>
      </c>
      <c r="E8" s="49">
        <v>10</v>
      </c>
      <c r="F8" s="49">
        <v>1</v>
      </c>
      <c r="G8" s="50">
        <f>150/365</f>
        <v>0.41095890410958902</v>
      </c>
      <c r="H8" s="51">
        <f t="shared" si="0"/>
        <v>4.10958904109589</v>
      </c>
      <c r="I8" s="52"/>
      <c r="J8" s="52"/>
      <c r="K8" s="313"/>
      <c r="L8" s="53"/>
      <c r="M8" s="54"/>
      <c r="N8" s="62"/>
    </row>
    <row r="9" spans="2:14" x14ac:dyDescent="0.25">
      <c r="B9" s="367"/>
      <c r="C9" s="48" t="s">
        <v>122</v>
      </c>
      <c r="D9" s="49" t="s">
        <v>88</v>
      </c>
      <c r="E9" s="49"/>
      <c r="F9" s="49">
        <v>2</v>
      </c>
      <c r="G9" s="50">
        <v>55</v>
      </c>
      <c r="H9" s="51">
        <f t="shared" si="0"/>
        <v>0</v>
      </c>
      <c r="I9" s="52"/>
      <c r="J9" s="52"/>
      <c r="K9" s="313"/>
      <c r="L9" s="53"/>
      <c r="M9" s="54"/>
      <c r="N9" s="62"/>
    </row>
    <row r="10" spans="2:14" x14ac:dyDescent="0.25">
      <c r="B10" s="367"/>
      <c r="C10" s="48" t="s">
        <v>121</v>
      </c>
      <c r="D10" s="49" t="s">
        <v>102</v>
      </c>
      <c r="E10" s="49"/>
      <c r="F10" s="49">
        <v>1</v>
      </c>
      <c r="G10" s="50">
        <v>5.5</v>
      </c>
      <c r="H10" s="51">
        <f t="shared" si="0"/>
        <v>0</v>
      </c>
      <c r="I10" s="52"/>
      <c r="J10" s="52"/>
      <c r="K10" s="313"/>
      <c r="L10" s="53"/>
      <c r="M10" s="54"/>
      <c r="N10" s="62"/>
    </row>
    <row r="11" spans="2:14" ht="30" x14ac:dyDescent="0.25">
      <c r="B11" s="367"/>
      <c r="C11" s="48" t="s">
        <v>124</v>
      </c>
      <c r="D11" s="49" t="s">
        <v>102</v>
      </c>
      <c r="E11" s="49"/>
      <c r="F11" s="49">
        <v>1</v>
      </c>
      <c r="G11" s="50">
        <f>1950/365</f>
        <v>5.3424657534246576</v>
      </c>
      <c r="H11" s="51">
        <f t="shared" si="0"/>
        <v>0</v>
      </c>
      <c r="I11" s="52"/>
      <c r="J11" s="52"/>
      <c r="K11" s="313"/>
      <c r="L11" s="53"/>
      <c r="M11" s="54"/>
      <c r="N11" s="63" t="s">
        <v>125</v>
      </c>
    </row>
    <row r="12" spans="2:14" x14ac:dyDescent="0.25">
      <c r="B12" s="367"/>
      <c r="C12" s="48" t="s">
        <v>85</v>
      </c>
      <c r="D12" s="49" t="s">
        <v>88</v>
      </c>
      <c r="E12" s="49">
        <f>ROUNDUP((SUM(M6:M16)/300),0)</f>
        <v>0</v>
      </c>
      <c r="F12" s="49"/>
      <c r="G12" s="50">
        <v>200</v>
      </c>
      <c r="H12" s="51">
        <f t="shared" si="0"/>
        <v>0</v>
      </c>
      <c r="I12" s="52"/>
      <c r="J12" s="52"/>
      <c r="K12" s="313"/>
      <c r="L12" s="53"/>
      <c r="M12" s="54"/>
      <c r="N12" s="62"/>
    </row>
    <row r="13" spans="2:14" x14ac:dyDescent="0.25">
      <c r="B13" s="367"/>
      <c r="C13" s="48" t="s">
        <v>29</v>
      </c>
      <c r="D13" s="49" t="s">
        <v>88</v>
      </c>
      <c r="E13" s="49">
        <v>1</v>
      </c>
      <c r="F13" s="49">
        <v>1</v>
      </c>
      <c r="G13" s="50">
        <v>20</v>
      </c>
      <c r="H13" s="51">
        <f t="shared" si="0"/>
        <v>20</v>
      </c>
      <c r="I13" s="52"/>
      <c r="J13" s="52"/>
      <c r="K13" s="313"/>
      <c r="L13" s="53"/>
      <c r="M13" s="54"/>
      <c r="N13" s="62"/>
    </row>
    <row r="14" spans="2:14" x14ac:dyDescent="0.25">
      <c r="B14" s="367"/>
      <c r="C14" s="48" t="s">
        <v>22</v>
      </c>
      <c r="D14" s="49" t="s">
        <v>94</v>
      </c>
      <c r="E14" s="49">
        <v>1</v>
      </c>
      <c r="F14" s="49">
        <v>1</v>
      </c>
      <c r="G14" s="50">
        <v>10</v>
      </c>
      <c r="H14" s="51">
        <f t="shared" si="0"/>
        <v>10</v>
      </c>
      <c r="I14" s="52"/>
      <c r="J14" s="52"/>
      <c r="K14" s="313"/>
      <c r="L14" s="53"/>
      <c r="M14" s="54"/>
      <c r="N14" s="62"/>
    </row>
    <row r="15" spans="2:14" x14ac:dyDescent="0.25">
      <c r="B15" s="367"/>
      <c r="C15" s="315" t="s">
        <v>25</v>
      </c>
      <c r="D15" s="315"/>
      <c r="E15" s="315"/>
      <c r="F15" s="315"/>
      <c r="G15" s="315"/>
      <c r="H15" s="55">
        <f>SUM(H6:H14)</f>
        <v>150.10958904109589</v>
      </c>
      <c r="I15" s="52"/>
      <c r="J15" s="52"/>
      <c r="K15" s="313"/>
      <c r="L15" s="53"/>
      <c r="M15" s="54"/>
      <c r="N15" s="62"/>
    </row>
    <row r="16" spans="2:14" x14ac:dyDescent="0.25">
      <c r="B16" s="367"/>
      <c r="C16" s="368" t="s">
        <v>24</v>
      </c>
      <c r="D16" s="369"/>
      <c r="E16" s="368" t="s">
        <v>97</v>
      </c>
      <c r="F16" s="369"/>
      <c r="G16" s="56">
        <v>10</v>
      </c>
      <c r="H16" s="55">
        <f>ROUNDUP((H15/G16),0)</f>
        <v>16</v>
      </c>
      <c r="I16" s="52"/>
      <c r="J16" s="52"/>
      <c r="K16" s="314"/>
      <c r="L16" s="57"/>
      <c r="M16" s="58"/>
      <c r="N16" s="62"/>
    </row>
    <row r="17" spans="2:14" x14ac:dyDescent="0.25">
      <c r="B17" s="64"/>
      <c r="C17" s="68"/>
      <c r="D17" s="68"/>
      <c r="E17" s="68"/>
      <c r="F17" s="68"/>
      <c r="G17" s="69"/>
      <c r="H17" s="70"/>
      <c r="I17" s="65"/>
      <c r="J17" s="65"/>
      <c r="K17" s="65"/>
      <c r="L17" s="65"/>
      <c r="M17" s="66"/>
      <c r="N17" s="87"/>
    </row>
    <row r="18" spans="2:14" x14ac:dyDescent="0.25">
      <c r="B18" s="327" t="s">
        <v>0</v>
      </c>
      <c r="C18" s="327" t="s">
        <v>19</v>
      </c>
      <c r="D18" s="327" t="s">
        <v>14</v>
      </c>
      <c r="E18" s="329" t="s">
        <v>1</v>
      </c>
      <c r="F18" s="330"/>
      <c r="G18" s="319" t="s">
        <v>20</v>
      </c>
      <c r="H18" s="319" t="s">
        <v>21</v>
      </c>
      <c r="I18" s="321" t="s">
        <v>96</v>
      </c>
      <c r="J18" s="322"/>
      <c r="K18" s="323" t="s">
        <v>84</v>
      </c>
      <c r="L18" s="325" t="s">
        <v>85</v>
      </c>
      <c r="M18" s="326"/>
      <c r="N18" s="46" t="s">
        <v>28</v>
      </c>
    </row>
    <row r="19" spans="2:14" x14ac:dyDescent="0.25">
      <c r="B19" s="328"/>
      <c r="C19" s="328"/>
      <c r="D19" s="328"/>
      <c r="E19" s="59" t="s">
        <v>104</v>
      </c>
      <c r="F19" s="45" t="s">
        <v>103</v>
      </c>
      <c r="G19" s="320"/>
      <c r="H19" s="320"/>
      <c r="I19" s="91" t="s">
        <v>100</v>
      </c>
      <c r="J19" s="92" t="s">
        <v>99</v>
      </c>
      <c r="K19" s="324"/>
      <c r="L19" s="47" t="s">
        <v>101</v>
      </c>
      <c r="M19" s="61" t="s">
        <v>86</v>
      </c>
      <c r="N19" s="46"/>
    </row>
    <row r="20" spans="2:14" x14ac:dyDescent="0.25">
      <c r="B20" s="367" t="s">
        <v>159</v>
      </c>
      <c r="C20" s="48" t="s">
        <v>26</v>
      </c>
      <c r="D20" s="49" t="s">
        <v>92</v>
      </c>
      <c r="E20" s="49">
        <v>4</v>
      </c>
      <c r="F20" s="49">
        <v>1</v>
      </c>
      <c r="G20" s="50">
        <v>17</v>
      </c>
      <c r="H20" s="51">
        <f>G20*E20*F20</f>
        <v>68</v>
      </c>
      <c r="I20" s="52"/>
      <c r="J20" s="52"/>
      <c r="K20" s="312"/>
      <c r="L20" s="53"/>
      <c r="M20" s="54"/>
      <c r="N20" s="62"/>
    </row>
    <row r="21" spans="2:14" x14ac:dyDescent="0.25">
      <c r="B21" s="367"/>
      <c r="C21" s="48" t="s">
        <v>27</v>
      </c>
      <c r="D21" s="49" t="s">
        <v>92</v>
      </c>
      <c r="E21" s="49">
        <v>0</v>
      </c>
      <c r="F21" s="49">
        <v>1</v>
      </c>
      <c r="G21" s="50">
        <v>12</v>
      </c>
      <c r="H21" s="51">
        <f t="shared" ref="H21:H28" si="1">G21*E21*F21</f>
        <v>0</v>
      </c>
      <c r="I21" s="52"/>
      <c r="J21" s="52"/>
      <c r="K21" s="313"/>
      <c r="L21" s="44"/>
      <c r="M21" s="60"/>
      <c r="N21" s="62"/>
    </row>
    <row r="22" spans="2:14" x14ac:dyDescent="0.25">
      <c r="B22" s="367"/>
      <c r="C22" s="48" t="s">
        <v>160</v>
      </c>
      <c r="D22" s="49" t="s">
        <v>163</v>
      </c>
      <c r="E22" s="49">
        <v>1</v>
      </c>
      <c r="F22" s="49">
        <v>1</v>
      </c>
      <c r="G22" s="50">
        <v>65</v>
      </c>
      <c r="H22" s="51">
        <f t="shared" si="1"/>
        <v>65</v>
      </c>
      <c r="I22" s="52"/>
      <c r="J22" s="52"/>
      <c r="K22" s="313"/>
      <c r="L22" s="53"/>
      <c r="M22" s="54"/>
      <c r="N22" s="62"/>
    </row>
    <row r="23" spans="2:14" x14ac:dyDescent="0.25">
      <c r="B23" s="367"/>
      <c r="C23" s="48" t="s">
        <v>161</v>
      </c>
      <c r="D23" s="49" t="s">
        <v>88</v>
      </c>
      <c r="E23" s="49">
        <v>1</v>
      </c>
      <c r="F23" s="49">
        <v>1</v>
      </c>
      <c r="G23" s="50">
        <v>150</v>
      </c>
      <c r="H23" s="51">
        <f t="shared" si="1"/>
        <v>150</v>
      </c>
      <c r="I23" s="52"/>
      <c r="J23" s="52"/>
      <c r="K23" s="313"/>
      <c r="L23" s="53"/>
      <c r="M23" s="54"/>
      <c r="N23" s="62"/>
    </row>
    <row r="24" spans="2:14" x14ac:dyDescent="0.25">
      <c r="B24" s="367"/>
      <c r="C24" s="48" t="s">
        <v>162</v>
      </c>
      <c r="D24" s="49" t="s">
        <v>88</v>
      </c>
      <c r="E24" s="49">
        <v>1</v>
      </c>
      <c r="F24" s="49">
        <v>1</v>
      </c>
      <c r="G24" s="50">
        <v>150</v>
      </c>
      <c r="H24" s="51">
        <f t="shared" si="1"/>
        <v>150</v>
      </c>
      <c r="I24" s="52"/>
      <c r="J24" s="52"/>
      <c r="K24" s="313"/>
      <c r="L24" s="53"/>
      <c r="M24" s="54"/>
      <c r="N24" s="62"/>
    </row>
    <row r="25" spans="2:14" x14ac:dyDescent="0.25">
      <c r="B25" s="367"/>
      <c r="C25" s="48"/>
      <c r="D25" s="49"/>
      <c r="E25" s="49"/>
      <c r="F25" s="49"/>
      <c r="G25" s="50"/>
      <c r="H25" s="51">
        <f t="shared" si="1"/>
        <v>0</v>
      </c>
      <c r="I25" s="52"/>
      <c r="J25" s="52"/>
      <c r="K25" s="313"/>
      <c r="L25" s="53"/>
      <c r="M25" s="54"/>
      <c r="N25" s="63"/>
    </row>
    <row r="26" spans="2:14" x14ac:dyDescent="0.25">
      <c r="B26" s="367"/>
      <c r="C26" s="48"/>
      <c r="D26" s="49"/>
      <c r="E26" s="49"/>
      <c r="F26" s="49"/>
      <c r="G26" s="50"/>
      <c r="H26" s="51">
        <f t="shared" si="1"/>
        <v>0</v>
      </c>
      <c r="I26" s="52"/>
      <c r="J26" s="52"/>
      <c r="K26" s="313"/>
      <c r="L26" s="53"/>
      <c r="M26" s="54"/>
      <c r="N26" s="62"/>
    </row>
    <row r="27" spans="2:14" x14ac:dyDescent="0.25">
      <c r="B27" s="367"/>
      <c r="C27" s="48" t="s">
        <v>29</v>
      </c>
      <c r="D27" s="49" t="s">
        <v>88</v>
      </c>
      <c r="E27" s="49">
        <v>1</v>
      </c>
      <c r="F27" s="49">
        <v>1</v>
      </c>
      <c r="G27" s="50">
        <v>20</v>
      </c>
      <c r="H27" s="51">
        <f t="shared" si="1"/>
        <v>20</v>
      </c>
      <c r="I27" s="52"/>
      <c r="J27" s="52"/>
      <c r="K27" s="313"/>
      <c r="L27" s="53"/>
      <c r="M27" s="54"/>
      <c r="N27" s="62"/>
    </row>
    <row r="28" spans="2:14" x14ac:dyDescent="0.25">
      <c r="B28" s="367"/>
      <c r="C28" s="48" t="s">
        <v>22</v>
      </c>
      <c r="D28" s="49" t="s">
        <v>94</v>
      </c>
      <c r="E28" s="49">
        <v>1</v>
      </c>
      <c r="F28" s="49">
        <v>1</v>
      </c>
      <c r="G28" s="50">
        <v>10</v>
      </c>
      <c r="H28" s="51">
        <f t="shared" si="1"/>
        <v>10</v>
      </c>
      <c r="I28" s="52"/>
      <c r="J28" s="52"/>
      <c r="K28" s="313"/>
      <c r="L28" s="53"/>
      <c r="M28" s="54"/>
      <c r="N28" s="62"/>
    </row>
    <row r="29" spans="2:14" x14ac:dyDescent="0.25">
      <c r="B29" s="367"/>
      <c r="C29" s="315" t="s">
        <v>25</v>
      </c>
      <c r="D29" s="315"/>
      <c r="E29" s="315"/>
      <c r="F29" s="315"/>
      <c r="G29" s="315"/>
      <c r="H29" s="55">
        <f>SUM(H20:H28)</f>
        <v>463</v>
      </c>
      <c r="I29" s="52"/>
      <c r="J29" s="52"/>
      <c r="K29" s="313"/>
      <c r="L29" s="53"/>
      <c r="M29" s="54"/>
      <c r="N29" s="62"/>
    </row>
    <row r="30" spans="2:14" x14ac:dyDescent="0.25">
      <c r="B30" s="367"/>
      <c r="C30" s="368" t="s">
        <v>24</v>
      </c>
      <c r="D30" s="369"/>
      <c r="E30" s="368" t="s">
        <v>97</v>
      </c>
      <c r="F30" s="369"/>
      <c r="G30" s="56">
        <v>10</v>
      </c>
      <c r="H30" s="55">
        <f>ROUNDUP((H29/G30),0)</f>
        <v>47</v>
      </c>
      <c r="I30" s="52"/>
      <c r="J30" s="52"/>
      <c r="K30" s="314"/>
      <c r="L30" s="57"/>
      <c r="M30" s="58"/>
      <c r="N30" s="62"/>
    </row>
    <row r="31" spans="2:14" x14ac:dyDescent="0.25">
      <c r="B31" s="64"/>
      <c r="C31" s="68"/>
      <c r="D31" s="68"/>
      <c r="E31" s="68"/>
      <c r="F31" s="68"/>
      <c r="G31" s="69"/>
      <c r="H31" s="70"/>
      <c r="I31" s="65"/>
      <c r="J31" s="65"/>
      <c r="K31" s="65"/>
      <c r="L31" s="65"/>
      <c r="M31" s="66"/>
      <c r="N31" s="87"/>
    </row>
    <row r="32" spans="2:14" x14ac:dyDescent="0.25">
      <c r="B32" s="327" t="s">
        <v>0</v>
      </c>
      <c r="C32" s="327" t="s">
        <v>19</v>
      </c>
      <c r="D32" s="327" t="s">
        <v>14</v>
      </c>
      <c r="E32" s="329" t="s">
        <v>1</v>
      </c>
      <c r="F32" s="330"/>
      <c r="G32" s="319" t="s">
        <v>20</v>
      </c>
      <c r="H32" s="319" t="s">
        <v>21</v>
      </c>
      <c r="I32" s="321" t="s">
        <v>96</v>
      </c>
      <c r="J32" s="322"/>
      <c r="K32" s="323" t="s">
        <v>84</v>
      </c>
      <c r="L32" s="325" t="s">
        <v>85</v>
      </c>
      <c r="M32" s="326"/>
      <c r="N32" s="46" t="s">
        <v>28</v>
      </c>
    </row>
    <row r="33" spans="2:14" x14ac:dyDescent="0.25">
      <c r="B33" s="328"/>
      <c r="C33" s="328"/>
      <c r="D33" s="328"/>
      <c r="E33" s="59" t="s">
        <v>104</v>
      </c>
      <c r="F33" s="45" t="s">
        <v>103</v>
      </c>
      <c r="G33" s="320"/>
      <c r="H33" s="320"/>
      <c r="I33" s="91" t="s">
        <v>100</v>
      </c>
      <c r="J33" s="92" t="s">
        <v>99</v>
      </c>
      <c r="K33" s="324"/>
      <c r="L33" s="47" t="s">
        <v>101</v>
      </c>
      <c r="M33" s="61" t="s">
        <v>86</v>
      </c>
      <c r="N33" s="46"/>
    </row>
    <row r="34" spans="2:14" x14ac:dyDescent="0.25">
      <c r="B34" s="367" t="s">
        <v>181</v>
      </c>
      <c r="C34" s="48" t="s">
        <v>26</v>
      </c>
      <c r="D34" s="49" t="s">
        <v>92</v>
      </c>
      <c r="E34" s="49">
        <v>4</v>
      </c>
      <c r="F34" s="49">
        <v>1</v>
      </c>
      <c r="G34" s="50">
        <v>17</v>
      </c>
      <c r="H34" s="51">
        <f>G34*E34*F34</f>
        <v>68</v>
      </c>
      <c r="I34" s="52"/>
      <c r="J34" s="52"/>
      <c r="K34" s="312">
        <f>((E34+E35)/2)/8</f>
        <v>0.5</v>
      </c>
      <c r="L34" s="53"/>
      <c r="M34" s="54">
        <f>0.02*2*5*1.1</f>
        <v>0.22000000000000003</v>
      </c>
      <c r="N34" s="50"/>
    </row>
    <row r="35" spans="2:14" x14ac:dyDescent="0.25">
      <c r="B35" s="367"/>
      <c r="C35" s="48" t="s">
        <v>27</v>
      </c>
      <c r="D35" s="49" t="s">
        <v>92</v>
      </c>
      <c r="E35" s="49">
        <v>4</v>
      </c>
      <c r="F35" s="49">
        <v>0</v>
      </c>
      <c r="G35" s="50">
        <v>12</v>
      </c>
      <c r="H35" s="51">
        <f t="shared" ref="H35:H42" si="2">G35*E35*F35</f>
        <v>0</v>
      </c>
      <c r="I35" s="52"/>
      <c r="J35" s="52"/>
      <c r="K35" s="313"/>
      <c r="L35" s="44"/>
      <c r="M35" s="60"/>
      <c r="N35" s="50"/>
    </row>
    <row r="36" spans="2:14" x14ac:dyDescent="0.25">
      <c r="B36" s="367"/>
      <c r="C36" s="48" t="s">
        <v>89</v>
      </c>
      <c r="D36" s="49" t="s">
        <v>102</v>
      </c>
      <c r="E36" s="49">
        <v>1</v>
      </c>
      <c r="F36" s="49">
        <v>1</v>
      </c>
      <c r="G36" s="50">
        <v>25</v>
      </c>
      <c r="H36" s="51">
        <f t="shared" si="2"/>
        <v>25</v>
      </c>
      <c r="I36" s="52"/>
      <c r="J36" s="52"/>
      <c r="K36" s="313"/>
      <c r="L36" s="53"/>
      <c r="M36" s="54"/>
      <c r="N36" s="50"/>
    </row>
    <row r="37" spans="2:14" x14ac:dyDescent="0.25">
      <c r="B37" s="367"/>
      <c r="C37" s="48" t="s">
        <v>90</v>
      </c>
      <c r="D37" s="49" t="s">
        <v>88</v>
      </c>
      <c r="E37" s="49">
        <v>1</v>
      </c>
      <c r="F37" s="49">
        <v>1</v>
      </c>
      <c r="G37" s="50">
        <v>4</v>
      </c>
      <c r="H37" s="51">
        <f t="shared" si="2"/>
        <v>4</v>
      </c>
      <c r="I37" s="52"/>
      <c r="J37" s="52"/>
      <c r="K37" s="313"/>
      <c r="L37" s="53"/>
      <c r="M37" s="54"/>
      <c r="N37" s="50"/>
    </row>
    <row r="38" spans="2:14" x14ac:dyDescent="0.25">
      <c r="B38" s="367"/>
      <c r="C38" s="48"/>
      <c r="D38" s="49"/>
      <c r="E38" s="49"/>
      <c r="F38" s="49"/>
      <c r="G38" s="50"/>
      <c r="H38" s="51"/>
      <c r="I38" s="52"/>
      <c r="J38" s="52"/>
      <c r="K38" s="313"/>
      <c r="L38" s="53"/>
      <c r="M38" s="54"/>
      <c r="N38" s="50"/>
    </row>
    <row r="39" spans="2:14" x14ac:dyDescent="0.25">
      <c r="B39" s="367"/>
      <c r="C39" s="48" t="s">
        <v>85</v>
      </c>
      <c r="D39" s="49" t="s">
        <v>88</v>
      </c>
      <c r="E39" s="49">
        <f>ROUNDUP((SUM(M34:M44)/300),0)</f>
        <v>1</v>
      </c>
      <c r="F39" s="49">
        <v>1</v>
      </c>
      <c r="G39" s="50">
        <f>200*M34/6</f>
        <v>7.3333333333333348</v>
      </c>
      <c r="H39" s="51">
        <f t="shared" si="2"/>
        <v>7.3333333333333348</v>
      </c>
      <c r="I39" s="52"/>
      <c r="J39" s="52"/>
      <c r="K39" s="313"/>
      <c r="L39" s="53"/>
      <c r="M39" s="54"/>
      <c r="N39" s="50"/>
    </row>
    <row r="40" spans="2:14" x14ac:dyDescent="0.25">
      <c r="B40" s="367"/>
      <c r="C40" s="48" t="s">
        <v>91</v>
      </c>
      <c r="D40" s="49" t="s">
        <v>92</v>
      </c>
      <c r="E40" s="49">
        <v>1</v>
      </c>
      <c r="F40" s="49">
        <v>1</v>
      </c>
      <c r="G40" s="50">
        <v>10</v>
      </c>
      <c r="H40" s="51">
        <f t="shared" si="2"/>
        <v>10</v>
      </c>
      <c r="I40" s="52"/>
      <c r="J40" s="52"/>
      <c r="K40" s="313"/>
      <c r="L40" s="53"/>
      <c r="M40" s="54"/>
      <c r="N40" s="50"/>
    </row>
    <row r="41" spans="2:14" x14ac:dyDescent="0.25">
      <c r="B41" s="367"/>
      <c r="C41" s="48" t="s">
        <v>29</v>
      </c>
      <c r="D41" s="49" t="s">
        <v>88</v>
      </c>
      <c r="E41" s="49">
        <v>1</v>
      </c>
      <c r="F41" s="49">
        <v>1</v>
      </c>
      <c r="G41" s="50">
        <v>20</v>
      </c>
      <c r="H41" s="51">
        <f t="shared" si="2"/>
        <v>20</v>
      </c>
      <c r="I41" s="52"/>
      <c r="J41" s="52"/>
      <c r="K41" s="313"/>
      <c r="L41" s="53"/>
      <c r="M41" s="54"/>
      <c r="N41" s="50"/>
    </row>
    <row r="42" spans="2:14" x14ac:dyDescent="0.25">
      <c r="B42" s="367"/>
      <c r="C42" s="48" t="s">
        <v>22</v>
      </c>
      <c r="D42" s="49" t="s">
        <v>94</v>
      </c>
      <c r="E42" s="49">
        <v>1</v>
      </c>
      <c r="F42" s="49">
        <v>0</v>
      </c>
      <c r="G42" s="50">
        <v>10</v>
      </c>
      <c r="H42" s="51">
        <f t="shared" si="2"/>
        <v>0</v>
      </c>
      <c r="I42" s="52"/>
      <c r="J42" s="52"/>
      <c r="K42" s="313"/>
      <c r="L42" s="53"/>
      <c r="M42" s="54"/>
      <c r="N42" s="50"/>
    </row>
    <row r="43" spans="2:14" x14ac:dyDescent="0.25">
      <c r="B43" s="367"/>
      <c r="C43" s="315" t="s">
        <v>25</v>
      </c>
      <c r="D43" s="315"/>
      <c r="E43" s="315"/>
      <c r="F43" s="315"/>
      <c r="G43" s="315"/>
      <c r="H43" s="55">
        <f>SUM(H34:H42)</f>
        <v>134.33333333333331</v>
      </c>
      <c r="I43" s="52"/>
      <c r="J43" s="52"/>
      <c r="K43" s="313"/>
      <c r="L43" s="53"/>
      <c r="M43" s="54"/>
      <c r="N43" s="50"/>
    </row>
    <row r="44" spans="2:14" x14ac:dyDescent="0.25">
      <c r="B44" s="367"/>
      <c r="C44" s="368" t="s">
        <v>24</v>
      </c>
      <c r="D44" s="369"/>
      <c r="E44" s="368" t="s">
        <v>97</v>
      </c>
      <c r="F44" s="369"/>
      <c r="G44" s="56">
        <v>10</v>
      </c>
      <c r="H44" s="55">
        <f>ROUNDUP((H43/G44),0)</f>
        <v>14</v>
      </c>
      <c r="I44" s="52"/>
      <c r="J44" s="52"/>
      <c r="K44" s="314"/>
      <c r="L44" s="57"/>
      <c r="M44" s="58"/>
      <c r="N44" s="50"/>
    </row>
    <row r="45" spans="2:14" ht="16.5" customHeight="1" x14ac:dyDescent="0.25"/>
    <row r="46" spans="2:14" x14ac:dyDescent="0.25">
      <c r="B46" s="327" t="s">
        <v>0</v>
      </c>
      <c r="C46" s="327" t="s">
        <v>19</v>
      </c>
      <c r="D46" s="327" t="s">
        <v>14</v>
      </c>
      <c r="E46" s="329" t="s">
        <v>1</v>
      </c>
      <c r="F46" s="330"/>
      <c r="G46" s="319" t="s">
        <v>20</v>
      </c>
      <c r="H46" s="319" t="s">
        <v>21</v>
      </c>
      <c r="I46" s="321" t="s">
        <v>96</v>
      </c>
      <c r="J46" s="322"/>
      <c r="K46" s="323" t="s">
        <v>84</v>
      </c>
      <c r="L46" s="325" t="s">
        <v>85</v>
      </c>
      <c r="M46" s="326"/>
      <c r="N46" s="46" t="s">
        <v>28</v>
      </c>
    </row>
    <row r="47" spans="2:14" x14ac:dyDescent="0.25">
      <c r="B47" s="328"/>
      <c r="C47" s="328"/>
      <c r="D47" s="328"/>
      <c r="E47" s="59" t="s">
        <v>104</v>
      </c>
      <c r="F47" s="45" t="s">
        <v>103</v>
      </c>
      <c r="G47" s="320"/>
      <c r="H47" s="320"/>
      <c r="I47" s="91" t="s">
        <v>100</v>
      </c>
      <c r="J47" s="92" t="s">
        <v>99</v>
      </c>
      <c r="K47" s="324"/>
      <c r="L47" s="47" t="s">
        <v>101</v>
      </c>
      <c r="M47" s="61" t="s">
        <v>86</v>
      </c>
      <c r="N47" s="46"/>
    </row>
    <row r="48" spans="2:14" x14ac:dyDescent="0.25">
      <c r="B48" s="367" t="s">
        <v>107</v>
      </c>
      <c r="C48" s="48" t="s">
        <v>26</v>
      </c>
      <c r="D48" s="49" t="s">
        <v>92</v>
      </c>
      <c r="E48" s="49">
        <v>16</v>
      </c>
      <c r="F48" s="49">
        <v>1</v>
      </c>
      <c r="G48" s="50">
        <v>17</v>
      </c>
      <c r="H48" s="51">
        <f>G48*E48*F48</f>
        <v>272</v>
      </c>
      <c r="I48" s="52"/>
      <c r="J48" s="52"/>
      <c r="K48" s="312">
        <f>((E48+E49)/2)/8</f>
        <v>2</v>
      </c>
      <c r="L48" s="53" t="s">
        <v>95</v>
      </c>
      <c r="M48" s="54">
        <f>10*10*0.05*1.1</f>
        <v>5.5</v>
      </c>
      <c r="N48" s="50"/>
    </row>
    <row r="49" spans="2:14" x14ac:dyDescent="0.25">
      <c r="B49" s="367"/>
      <c r="C49" s="48" t="s">
        <v>27</v>
      </c>
      <c r="D49" s="49" t="s">
        <v>92</v>
      </c>
      <c r="E49" s="49">
        <v>16</v>
      </c>
      <c r="F49" s="49">
        <v>2</v>
      </c>
      <c r="G49" s="50">
        <v>12</v>
      </c>
      <c r="H49" s="51">
        <f t="shared" ref="H49:H56" si="3">G49*E49*F49</f>
        <v>384</v>
      </c>
      <c r="I49" s="52"/>
      <c r="J49" s="52"/>
      <c r="K49" s="313"/>
      <c r="L49" s="44"/>
      <c r="M49" s="60"/>
      <c r="N49" s="50"/>
    </row>
    <row r="50" spans="2:14" x14ac:dyDescent="0.25">
      <c r="B50" s="367"/>
      <c r="C50" s="48" t="s">
        <v>89</v>
      </c>
      <c r="D50" s="49" t="s">
        <v>102</v>
      </c>
      <c r="E50" s="49">
        <v>2</v>
      </c>
      <c r="F50" s="49">
        <v>3</v>
      </c>
      <c r="G50" s="50">
        <v>25</v>
      </c>
      <c r="H50" s="51">
        <f t="shared" si="3"/>
        <v>150</v>
      </c>
      <c r="I50" s="52"/>
      <c r="J50" s="52"/>
      <c r="K50" s="313"/>
      <c r="L50" s="53"/>
      <c r="M50" s="54"/>
      <c r="N50" s="50"/>
    </row>
    <row r="51" spans="2:14" x14ac:dyDescent="0.25">
      <c r="B51" s="367"/>
      <c r="C51" s="48" t="s">
        <v>90</v>
      </c>
      <c r="D51" s="49" t="s">
        <v>88</v>
      </c>
      <c r="E51" s="49">
        <v>2</v>
      </c>
      <c r="F51" s="49">
        <v>3</v>
      </c>
      <c r="G51" s="50">
        <v>4</v>
      </c>
      <c r="H51" s="51">
        <f t="shared" si="3"/>
        <v>24</v>
      </c>
      <c r="I51" s="52"/>
      <c r="J51" s="52"/>
      <c r="K51" s="313"/>
      <c r="L51" s="53"/>
      <c r="M51" s="54"/>
      <c r="N51" s="50"/>
    </row>
    <row r="52" spans="2:14" x14ac:dyDescent="0.25">
      <c r="B52" s="367"/>
      <c r="C52" s="48" t="s">
        <v>23</v>
      </c>
      <c r="D52" s="49" t="s">
        <v>93</v>
      </c>
      <c r="E52" s="49">
        <v>1</v>
      </c>
      <c r="F52" s="49"/>
      <c r="G52" s="50">
        <v>1</v>
      </c>
      <c r="H52" s="51">
        <f t="shared" si="3"/>
        <v>0</v>
      </c>
      <c r="I52" s="52"/>
      <c r="J52" s="52"/>
      <c r="K52" s="313"/>
      <c r="L52" s="53"/>
      <c r="M52" s="54"/>
      <c r="N52" s="50"/>
    </row>
    <row r="53" spans="2:14" x14ac:dyDescent="0.25">
      <c r="B53" s="367"/>
      <c r="C53" s="48" t="s">
        <v>85</v>
      </c>
      <c r="D53" s="49" t="s">
        <v>88</v>
      </c>
      <c r="E53" s="49">
        <f>ROUNDUP((SUM(M48:M58)/300),0)</f>
        <v>1</v>
      </c>
      <c r="F53" s="49">
        <v>1</v>
      </c>
      <c r="G53" s="50">
        <f>200*M48/6</f>
        <v>183.33333333333334</v>
      </c>
      <c r="H53" s="51">
        <f t="shared" si="3"/>
        <v>183.33333333333334</v>
      </c>
      <c r="I53" s="52"/>
      <c r="J53" s="52"/>
      <c r="K53" s="313"/>
      <c r="L53" s="53"/>
      <c r="M53" s="54"/>
      <c r="N53" s="50"/>
    </row>
    <row r="54" spans="2:14" x14ac:dyDescent="0.25">
      <c r="B54" s="367"/>
      <c r="C54" s="48" t="s">
        <v>91</v>
      </c>
      <c r="D54" s="49" t="s">
        <v>92</v>
      </c>
      <c r="E54" s="49">
        <v>8</v>
      </c>
      <c r="F54" s="49">
        <v>1</v>
      </c>
      <c r="G54" s="50">
        <v>10</v>
      </c>
      <c r="H54" s="51">
        <f t="shared" si="3"/>
        <v>80</v>
      </c>
      <c r="I54" s="52"/>
      <c r="J54" s="52"/>
      <c r="K54" s="313"/>
      <c r="L54" s="53"/>
      <c r="M54" s="54"/>
      <c r="N54" s="50"/>
    </row>
    <row r="55" spans="2:14" x14ac:dyDescent="0.25">
      <c r="B55" s="367"/>
      <c r="C55" s="48" t="s">
        <v>29</v>
      </c>
      <c r="D55" s="49" t="s">
        <v>88</v>
      </c>
      <c r="E55" s="49">
        <v>1</v>
      </c>
      <c r="F55" s="49">
        <v>2</v>
      </c>
      <c r="G55" s="50">
        <v>20</v>
      </c>
      <c r="H55" s="51">
        <f t="shared" si="3"/>
        <v>40</v>
      </c>
      <c r="I55" s="52"/>
      <c r="J55" s="52"/>
      <c r="K55" s="313"/>
      <c r="L55" s="53"/>
      <c r="M55" s="54"/>
      <c r="N55" s="50"/>
    </row>
    <row r="56" spans="2:14" x14ac:dyDescent="0.25">
      <c r="B56" s="367"/>
      <c r="C56" s="48" t="s">
        <v>22</v>
      </c>
      <c r="D56" s="49" t="s">
        <v>94</v>
      </c>
      <c r="E56" s="49">
        <v>1</v>
      </c>
      <c r="F56" s="49">
        <v>1</v>
      </c>
      <c r="G56" s="50">
        <v>10</v>
      </c>
      <c r="H56" s="51">
        <f t="shared" si="3"/>
        <v>10</v>
      </c>
      <c r="I56" s="52"/>
      <c r="J56" s="52"/>
      <c r="K56" s="313"/>
      <c r="L56" s="53"/>
      <c r="M56" s="54"/>
      <c r="N56" s="50"/>
    </row>
    <row r="57" spans="2:14" x14ac:dyDescent="0.25">
      <c r="B57" s="367"/>
      <c r="C57" s="315" t="s">
        <v>25</v>
      </c>
      <c r="D57" s="315"/>
      <c r="E57" s="315"/>
      <c r="F57" s="315"/>
      <c r="G57" s="315"/>
      <c r="H57" s="55">
        <f>SUM(H48:H56)</f>
        <v>1143.3333333333335</v>
      </c>
      <c r="I57" s="52"/>
      <c r="J57" s="52"/>
      <c r="K57" s="313"/>
      <c r="L57" s="53"/>
      <c r="M57" s="54"/>
      <c r="N57" s="50"/>
    </row>
    <row r="58" spans="2:14" x14ac:dyDescent="0.25">
      <c r="B58" s="367"/>
      <c r="C58" s="368" t="s">
        <v>24</v>
      </c>
      <c r="D58" s="369"/>
      <c r="E58" s="368" t="s">
        <v>97</v>
      </c>
      <c r="F58" s="369"/>
      <c r="G58" s="56">
        <v>100</v>
      </c>
      <c r="H58" s="55">
        <f>ROUNDUP((H57/G58),0)</f>
        <v>12</v>
      </c>
      <c r="I58" s="52"/>
      <c r="J58" s="52"/>
      <c r="K58" s="314"/>
      <c r="L58" s="57"/>
      <c r="M58" s="58"/>
      <c r="N58" s="50"/>
    </row>
    <row r="60" spans="2:14" x14ac:dyDescent="0.25">
      <c r="B60" s="327" t="s">
        <v>0</v>
      </c>
      <c r="C60" s="327" t="s">
        <v>19</v>
      </c>
      <c r="D60" s="327" t="s">
        <v>14</v>
      </c>
      <c r="E60" s="329" t="s">
        <v>1</v>
      </c>
      <c r="F60" s="330"/>
      <c r="G60" s="319" t="s">
        <v>20</v>
      </c>
      <c r="H60" s="319" t="s">
        <v>21</v>
      </c>
      <c r="I60" s="321" t="s">
        <v>96</v>
      </c>
      <c r="J60" s="322"/>
      <c r="K60" s="323" t="s">
        <v>84</v>
      </c>
      <c r="L60" s="325" t="s">
        <v>85</v>
      </c>
      <c r="M60" s="326"/>
      <c r="N60" s="46" t="s">
        <v>28</v>
      </c>
    </row>
    <row r="61" spans="2:14" x14ac:dyDescent="0.25">
      <c r="B61" s="328"/>
      <c r="C61" s="328"/>
      <c r="D61" s="328"/>
      <c r="E61" s="59" t="s">
        <v>104</v>
      </c>
      <c r="F61" s="45" t="s">
        <v>103</v>
      </c>
      <c r="G61" s="320"/>
      <c r="H61" s="320"/>
      <c r="I61" s="91" t="s">
        <v>100</v>
      </c>
      <c r="J61" s="92" t="s">
        <v>99</v>
      </c>
      <c r="K61" s="324"/>
      <c r="L61" s="47" t="s">
        <v>101</v>
      </c>
      <c r="M61" s="61" t="s">
        <v>86</v>
      </c>
      <c r="N61" s="46"/>
    </row>
    <row r="62" spans="2:14" x14ac:dyDescent="0.25">
      <c r="B62" s="367" t="s">
        <v>164</v>
      </c>
      <c r="C62" s="48" t="s">
        <v>26</v>
      </c>
      <c r="D62" s="49" t="s">
        <v>92</v>
      </c>
      <c r="E62" s="49">
        <v>16</v>
      </c>
      <c r="F62" s="49">
        <v>1</v>
      </c>
      <c r="G62" s="50">
        <v>17</v>
      </c>
      <c r="H62" s="51">
        <f>G62*E62*F62</f>
        <v>272</v>
      </c>
      <c r="I62" s="52"/>
      <c r="J62" s="52"/>
      <c r="K62" s="312">
        <f>((E62+E63)/2)/8</f>
        <v>1.5</v>
      </c>
      <c r="L62" s="53"/>
      <c r="M62" s="54">
        <v>0.5</v>
      </c>
      <c r="N62" s="50"/>
    </row>
    <row r="63" spans="2:14" x14ac:dyDescent="0.25">
      <c r="B63" s="367"/>
      <c r="C63" s="48" t="s">
        <v>27</v>
      </c>
      <c r="D63" s="49" t="s">
        <v>92</v>
      </c>
      <c r="E63" s="49">
        <v>8</v>
      </c>
      <c r="F63" s="49">
        <v>1</v>
      </c>
      <c r="G63" s="50">
        <v>12</v>
      </c>
      <c r="H63" s="51">
        <f t="shared" ref="H63:H70" si="4">G63*E63*F63</f>
        <v>96</v>
      </c>
      <c r="I63" s="52"/>
      <c r="J63" s="52"/>
      <c r="K63" s="313"/>
      <c r="L63" s="44"/>
      <c r="M63" s="60"/>
      <c r="N63" s="50"/>
    </row>
    <row r="64" spans="2:14" ht="30" x14ac:dyDescent="0.25">
      <c r="B64" s="367"/>
      <c r="C64" s="48" t="s">
        <v>106</v>
      </c>
      <c r="D64" s="49" t="s">
        <v>88</v>
      </c>
      <c r="E64" s="49">
        <f>ROUNDUP((SUM(0.5*I64*5)/25),0)</f>
        <v>2</v>
      </c>
      <c r="F64" s="49">
        <v>1</v>
      </c>
      <c r="G64" s="50">
        <v>2.59</v>
      </c>
      <c r="H64" s="51">
        <f t="shared" si="4"/>
        <v>5.18</v>
      </c>
      <c r="I64" s="52">
        <v>20</v>
      </c>
      <c r="J64" s="52" t="s">
        <v>87</v>
      </c>
      <c r="K64" s="313"/>
      <c r="L64" s="53"/>
      <c r="M64" s="54"/>
      <c r="N64" s="50"/>
    </row>
    <row r="65" spans="2:14" x14ac:dyDescent="0.25">
      <c r="B65" s="367"/>
      <c r="C65" s="48" t="s">
        <v>89</v>
      </c>
      <c r="D65" s="49" t="s">
        <v>102</v>
      </c>
      <c r="E65" s="49">
        <v>1</v>
      </c>
      <c r="F65" s="49">
        <v>1</v>
      </c>
      <c r="G65" s="50">
        <v>25</v>
      </c>
      <c r="H65" s="51">
        <f t="shared" ref="H65:H68" si="5">G65*E65*F65</f>
        <v>25</v>
      </c>
      <c r="I65" s="52"/>
      <c r="J65" s="52"/>
      <c r="K65" s="313"/>
      <c r="L65" s="53"/>
      <c r="M65" s="54"/>
      <c r="N65" s="50"/>
    </row>
    <row r="66" spans="2:14" x14ac:dyDescent="0.25">
      <c r="B66" s="367"/>
      <c r="C66" s="48" t="s">
        <v>90</v>
      </c>
      <c r="D66" s="49" t="s">
        <v>88</v>
      </c>
      <c r="E66" s="49">
        <v>1</v>
      </c>
      <c r="F66" s="49">
        <v>1</v>
      </c>
      <c r="G66" s="50">
        <v>4</v>
      </c>
      <c r="H66" s="51">
        <f t="shared" si="5"/>
        <v>4</v>
      </c>
      <c r="I66" s="52"/>
      <c r="J66" s="52"/>
      <c r="K66" s="313"/>
      <c r="L66" s="53"/>
      <c r="M66" s="54"/>
      <c r="N66" s="50"/>
    </row>
    <row r="67" spans="2:14" x14ac:dyDescent="0.25">
      <c r="B67" s="367"/>
      <c r="C67" s="48" t="s">
        <v>135</v>
      </c>
      <c r="D67" s="49" t="s">
        <v>88</v>
      </c>
      <c r="E67" s="49">
        <v>1</v>
      </c>
      <c r="F67" s="49">
        <v>1</v>
      </c>
      <c r="G67" s="50">
        <v>4</v>
      </c>
      <c r="H67" s="51">
        <f t="shared" si="5"/>
        <v>4</v>
      </c>
      <c r="I67" s="52"/>
      <c r="J67" s="52"/>
      <c r="K67" s="313"/>
      <c r="L67" s="53"/>
      <c r="M67" s="54"/>
      <c r="N67" s="50"/>
    </row>
    <row r="68" spans="2:14" x14ac:dyDescent="0.25">
      <c r="B68" s="367"/>
      <c r="C68" s="48" t="s">
        <v>85</v>
      </c>
      <c r="D68" s="49" t="s">
        <v>88</v>
      </c>
      <c r="E68" s="49">
        <v>1</v>
      </c>
      <c r="F68" s="49">
        <v>1</v>
      </c>
      <c r="G68" s="50">
        <f>200*M62/6</f>
        <v>16.666666666666668</v>
      </c>
      <c r="H68" s="51">
        <f t="shared" si="5"/>
        <v>16.666666666666668</v>
      </c>
      <c r="I68" s="52"/>
      <c r="J68" s="52"/>
      <c r="K68" s="313"/>
      <c r="L68" s="53"/>
      <c r="M68" s="54"/>
      <c r="N68" s="50"/>
    </row>
    <row r="69" spans="2:14" x14ac:dyDescent="0.25">
      <c r="B69" s="367"/>
      <c r="C69" s="48" t="s">
        <v>29</v>
      </c>
      <c r="D69" s="49" t="s">
        <v>88</v>
      </c>
      <c r="E69" s="49">
        <v>1</v>
      </c>
      <c r="F69" s="49">
        <v>2</v>
      </c>
      <c r="G69" s="50">
        <v>20</v>
      </c>
      <c r="H69" s="51">
        <f t="shared" si="4"/>
        <v>40</v>
      </c>
      <c r="I69" s="52"/>
      <c r="J69" s="52"/>
      <c r="K69" s="313"/>
      <c r="L69" s="53"/>
      <c r="M69" s="54"/>
      <c r="N69" s="50"/>
    </row>
    <row r="70" spans="2:14" x14ac:dyDescent="0.25">
      <c r="B70" s="367"/>
      <c r="C70" s="48" t="s">
        <v>22</v>
      </c>
      <c r="D70" s="49" t="s">
        <v>94</v>
      </c>
      <c r="E70" s="49">
        <v>1</v>
      </c>
      <c r="F70" s="49">
        <v>1</v>
      </c>
      <c r="G70" s="50">
        <v>10</v>
      </c>
      <c r="H70" s="51">
        <f t="shared" si="4"/>
        <v>10</v>
      </c>
      <c r="I70" s="52"/>
      <c r="J70" s="52"/>
      <c r="K70" s="313"/>
      <c r="L70" s="53"/>
      <c r="M70" s="54"/>
      <c r="N70" s="50"/>
    </row>
    <row r="71" spans="2:14" x14ac:dyDescent="0.25">
      <c r="B71" s="367"/>
      <c r="C71" s="315" t="s">
        <v>25</v>
      </c>
      <c r="D71" s="315"/>
      <c r="E71" s="315"/>
      <c r="F71" s="315"/>
      <c r="G71" s="315"/>
      <c r="H71" s="55">
        <f>SUM(H62:H70)</f>
        <v>472.84666666666669</v>
      </c>
      <c r="I71" s="52"/>
      <c r="J71" s="52"/>
      <c r="K71" s="313"/>
      <c r="L71" s="53"/>
      <c r="M71" s="54"/>
      <c r="N71" s="50"/>
    </row>
    <row r="72" spans="2:14" x14ac:dyDescent="0.25">
      <c r="B72" s="367"/>
      <c r="C72" s="368" t="s">
        <v>183</v>
      </c>
      <c r="D72" s="369"/>
      <c r="E72" s="368" t="s">
        <v>182</v>
      </c>
      <c r="F72" s="369"/>
      <c r="G72" s="56">
        <v>10</v>
      </c>
      <c r="H72" s="55">
        <f>ROUNDUP((H71/G72),0)</f>
        <v>48</v>
      </c>
      <c r="I72" s="52"/>
      <c r="J72" s="52"/>
      <c r="K72" s="314"/>
      <c r="L72" s="57"/>
      <c r="M72" s="58"/>
      <c r="N72" s="50"/>
    </row>
    <row r="73" spans="2:14" x14ac:dyDescent="0.25">
      <c r="B73" s="64"/>
      <c r="C73" s="68"/>
      <c r="D73" s="68"/>
      <c r="E73" s="68"/>
      <c r="F73" s="68"/>
      <c r="G73" s="69"/>
      <c r="H73" s="70"/>
      <c r="I73" s="65"/>
      <c r="J73" s="65"/>
      <c r="K73" s="65"/>
      <c r="L73" s="65"/>
      <c r="M73" s="66"/>
      <c r="N73" s="67"/>
    </row>
    <row r="74" spans="2:14" x14ac:dyDescent="0.25">
      <c r="B74" s="327" t="s">
        <v>0</v>
      </c>
      <c r="C74" s="327" t="s">
        <v>19</v>
      </c>
      <c r="D74" s="327" t="s">
        <v>14</v>
      </c>
      <c r="E74" s="329" t="s">
        <v>1</v>
      </c>
      <c r="F74" s="330"/>
      <c r="G74" s="319" t="s">
        <v>20</v>
      </c>
      <c r="H74" s="319" t="s">
        <v>21</v>
      </c>
      <c r="I74" s="321" t="s">
        <v>96</v>
      </c>
      <c r="J74" s="322"/>
      <c r="K74" s="323" t="s">
        <v>84</v>
      </c>
      <c r="L74" s="325" t="s">
        <v>85</v>
      </c>
      <c r="M74" s="326"/>
      <c r="N74" s="46" t="s">
        <v>28</v>
      </c>
    </row>
    <row r="75" spans="2:14" x14ac:dyDescent="0.25">
      <c r="B75" s="328"/>
      <c r="C75" s="328"/>
      <c r="D75" s="328"/>
      <c r="E75" s="59" t="s">
        <v>104</v>
      </c>
      <c r="F75" s="45" t="s">
        <v>103</v>
      </c>
      <c r="G75" s="320"/>
      <c r="H75" s="320"/>
      <c r="I75" s="91" t="s">
        <v>100</v>
      </c>
      <c r="J75" s="92" t="s">
        <v>99</v>
      </c>
      <c r="K75" s="324"/>
      <c r="L75" s="47" t="s">
        <v>101</v>
      </c>
      <c r="M75" s="61" t="s">
        <v>86</v>
      </c>
      <c r="N75" s="46"/>
    </row>
    <row r="76" spans="2:14" x14ac:dyDescent="0.25">
      <c r="B76" s="367" t="s">
        <v>165</v>
      </c>
      <c r="C76" s="48" t="s">
        <v>26</v>
      </c>
      <c r="D76" s="49" t="s">
        <v>92</v>
      </c>
      <c r="E76" s="49">
        <v>16</v>
      </c>
      <c r="F76" s="49">
        <v>1</v>
      </c>
      <c r="G76" s="50">
        <v>17</v>
      </c>
      <c r="H76" s="51">
        <f>G76*E76*F76</f>
        <v>272</v>
      </c>
      <c r="I76" s="52"/>
      <c r="J76" s="52"/>
      <c r="K76" s="312">
        <f>((E76+E77)/2)/8</f>
        <v>2</v>
      </c>
      <c r="L76" s="53"/>
      <c r="M76" s="54">
        <v>0.5</v>
      </c>
      <c r="N76" s="50"/>
    </row>
    <row r="77" spans="2:14" x14ac:dyDescent="0.25">
      <c r="B77" s="367"/>
      <c r="C77" s="48" t="s">
        <v>27</v>
      </c>
      <c r="D77" s="49" t="s">
        <v>92</v>
      </c>
      <c r="E77" s="49">
        <v>16</v>
      </c>
      <c r="F77" s="49">
        <v>1</v>
      </c>
      <c r="G77" s="50">
        <v>12</v>
      </c>
      <c r="H77" s="51">
        <f t="shared" ref="H77:H84" si="6">G77*E77*F77</f>
        <v>192</v>
      </c>
      <c r="I77" s="52"/>
      <c r="J77" s="52"/>
      <c r="K77" s="313"/>
      <c r="L77" s="44"/>
      <c r="M77" s="60"/>
      <c r="N77" s="50"/>
    </row>
    <row r="78" spans="2:14" ht="30" x14ac:dyDescent="0.25">
      <c r="B78" s="367"/>
      <c r="C78" s="48" t="s">
        <v>106</v>
      </c>
      <c r="D78" s="49" t="s">
        <v>88</v>
      </c>
      <c r="E78" s="49">
        <f>ROUNDUP((SUM(0.5*I78*5)/25),0)</f>
        <v>2</v>
      </c>
      <c r="F78" s="49">
        <v>1</v>
      </c>
      <c r="G78" s="50">
        <v>2.59</v>
      </c>
      <c r="H78" s="51">
        <f t="shared" si="6"/>
        <v>5.18</v>
      </c>
      <c r="I78" s="52">
        <v>20</v>
      </c>
      <c r="J78" s="52" t="s">
        <v>87</v>
      </c>
      <c r="K78" s="313"/>
      <c r="L78" s="53"/>
      <c r="M78" s="54"/>
      <c r="N78" s="50"/>
    </row>
    <row r="79" spans="2:14" x14ac:dyDescent="0.25">
      <c r="B79" s="367"/>
      <c r="C79" s="48" t="s">
        <v>89</v>
      </c>
      <c r="D79" s="49" t="s">
        <v>102</v>
      </c>
      <c r="E79" s="49">
        <v>1</v>
      </c>
      <c r="F79" s="49">
        <v>1</v>
      </c>
      <c r="G79" s="50">
        <v>25</v>
      </c>
      <c r="H79" s="51">
        <f t="shared" ref="H79:H82" si="7">G79*E79*F79</f>
        <v>25</v>
      </c>
      <c r="I79" s="52"/>
      <c r="J79" s="52"/>
      <c r="K79" s="313"/>
      <c r="L79" s="53"/>
      <c r="M79" s="54"/>
      <c r="N79" s="50"/>
    </row>
    <row r="80" spans="2:14" x14ac:dyDescent="0.25">
      <c r="B80" s="367"/>
      <c r="C80" s="48" t="s">
        <v>90</v>
      </c>
      <c r="D80" s="49" t="s">
        <v>88</v>
      </c>
      <c r="E80" s="49">
        <v>1</v>
      </c>
      <c r="F80" s="49">
        <v>1</v>
      </c>
      <c r="G80" s="50">
        <v>4</v>
      </c>
      <c r="H80" s="51">
        <f t="shared" si="7"/>
        <v>4</v>
      </c>
      <c r="I80" s="52"/>
      <c r="J80" s="52"/>
      <c r="K80" s="313"/>
      <c r="L80" s="53"/>
      <c r="M80" s="54"/>
      <c r="N80" s="50"/>
    </row>
    <row r="81" spans="2:14" x14ac:dyDescent="0.25">
      <c r="B81" s="367"/>
      <c r="C81" s="48" t="s">
        <v>135</v>
      </c>
      <c r="D81" s="49" t="s">
        <v>88</v>
      </c>
      <c r="E81" s="49">
        <v>1</v>
      </c>
      <c r="F81" s="49">
        <v>1</v>
      </c>
      <c r="G81" s="50">
        <v>4</v>
      </c>
      <c r="H81" s="51">
        <f t="shared" si="7"/>
        <v>4</v>
      </c>
      <c r="I81" s="52"/>
      <c r="J81" s="52"/>
      <c r="K81" s="313"/>
      <c r="L81" s="53"/>
      <c r="M81" s="54"/>
      <c r="N81" s="50"/>
    </row>
    <row r="82" spans="2:14" x14ac:dyDescent="0.25">
      <c r="B82" s="367"/>
      <c r="C82" s="48" t="s">
        <v>85</v>
      </c>
      <c r="D82" s="49" t="s">
        <v>88</v>
      </c>
      <c r="E82" s="49">
        <v>1</v>
      </c>
      <c r="F82" s="49">
        <v>1</v>
      </c>
      <c r="G82" s="50">
        <f>200*M76/6</f>
        <v>16.666666666666668</v>
      </c>
      <c r="H82" s="51">
        <f t="shared" si="7"/>
        <v>16.666666666666668</v>
      </c>
      <c r="I82" s="52"/>
      <c r="J82" s="52"/>
      <c r="K82" s="313"/>
      <c r="L82" s="53"/>
      <c r="M82" s="54"/>
      <c r="N82" s="50"/>
    </row>
    <row r="83" spans="2:14" x14ac:dyDescent="0.25">
      <c r="B83" s="367"/>
      <c r="C83" s="48" t="s">
        <v>29</v>
      </c>
      <c r="D83" s="49" t="s">
        <v>88</v>
      </c>
      <c r="E83" s="49">
        <v>1</v>
      </c>
      <c r="F83" s="49">
        <v>2</v>
      </c>
      <c r="G83" s="50">
        <v>20</v>
      </c>
      <c r="H83" s="51">
        <f t="shared" si="6"/>
        <v>40</v>
      </c>
      <c r="I83" s="52"/>
      <c r="J83" s="52"/>
      <c r="K83" s="313"/>
      <c r="L83" s="53"/>
      <c r="M83" s="54"/>
      <c r="N83" s="50"/>
    </row>
    <row r="84" spans="2:14" x14ac:dyDescent="0.25">
      <c r="B84" s="367"/>
      <c r="C84" s="48" t="s">
        <v>22</v>
      </c>
      <c r="D84" s="49" t="s">
        <v>94</v>
      </c>
      <c r="E84" s="49">
        <v>1</v>
      </c>
      <c r="F84" s="49">
        <v>1</v>
      </c>
      <c r="G84" s="50">
        <v>10</v>
      </c>
      <c r="H84" s="51">
        <f t="shared" si="6"/>
        <v>10</v>
      </c>
      <c r="I84" s="52"/>
      <c r="J84" s="52"/>
      <c r="K84" s="313"/>
      <c r="L84" s="53"/>
      <c r="M84" s="54"/>
      <c r="N84" s="50"/>
    </row>
    <row r="85" spans="2:14" x14ac:dyDescent="0.25">
      <c r="B85" s="367"/>
      <c r="C85" s="315" t="s">
        <v>25</v>
      </c>
      <c r="D85" s="315"/>
      <c r="E85" s="315"/>
      <c r="F85" s="315"/>
      <c r="G85" s="315"/>
      <c r="H85" s="55">
        <f>SUM(H76:H84)</f>
        <v>568.84666666666669</v>
      </c>
      <c r="I85" s="52"/>
      <c r="J85" s="52"/>
      <c r="K85" s="313"/>
      <c r="L85" s="53"/>
      <c r="M85" s="54"/>
      <c r="N85" s="50"/>
    </row>
    <row r="86" spans="2:14" x14ac:dyDescent="0.25">
      <c r="B86" s="367"/>
      <c r="C86" s="368" t="s">
        <v>183</v>
      </c>
      <c r="D86" s="369"/>
      <c r="E86" s="368" t="s">
        <v>182</v>
      </c>
      <c r="F86" s="369"/>
      <c r="G86" s="56">
        <v>10</v>
      </c>
      <c r="H86" s="55">
        <f>ROUNDUP((H85/G86),0)</f>
        <v>57</v>
      </c>
      <c r="I86" s="52"/>
      <c r="J86" s="52"/>
      <c r="K86" s="314"/>
      <c r="L86" s="57"/>
      <c r="M86" s="58"/>
      <c r="N86" s="50"/>
    </row>
    <row r="87" spans="2:14" x14ac:dyDescent="0.25">
      <c r="B87" s="64"/>
      <c r="C87" s="68"/>
      <c r="D87" s="68"/>
      <c r="E87" s="68"/>
      <c r="F87" s="68"/>
      <c r="G87" s="69"/>
      <c r="H87" s="70"/>
      <c r="I87" s="65"/>
      <c r="J87" s="65"/>
      <c r="K87" s="65"/>
      <c r="L87" s="65"/>
      <c r="M87" s="66"/>
      <c r="N87" s="67"/>
    </row>
    <row r="88" spans="2:14" x14ac:dyDescent="0.25">
      <c r="B88" s="327" t="s">
        <v>0</v>
      </c>
      <c r="C88" s="327" t="s">
        <v>19</v>
      </c>
      <c r="D88" s="327" t="s">
        <v>14</v>
      </c>
      <c r="E88" s="329" t="s">
        <v>1</v>
      </c>
      <c r="F88" s="330"/>
      <c r="G88" s="319" t="s">
        <v>20</v>
      </c>
      <c r="H88" s="319" t="s">
        <v>21</v>
      </c>
      <c r="I88" s="321" t="s">
        <v>96</v>
      </c>
      <c r="J88" s="322"/>
      <c r="K88" s="323" t="s">
        <v>84</v>
      </c>
      <c r="L88" s="325" t="s">
        <v>85</v>
      </c>
      <c r="M88" s="326"/>
      <c r="N88" s="46" t="s">
        <v>28</v>
      </c>
    </row>
    <row r="89" spans="2:14" x14ac:dyDescent="0.25">
      <c r="B89" s="328"/>
      <c r="C89" s="328"/>
      <c r="D89" s="328"/>
      <c r="E89" s="59" t="s">
        <v>104</v>
      </c>
      <c r="F89" s="45" t="s">
        <v>103</v>
      </c>
      <c r="G89" s="320"/>
      <c r="H89" s="320"/>
      <c r="I89" s="91" t="s">
        <v>100</v>
      </c>
      <c r="J89" s="92" t="s">
        <v>99</v>
      </c>
      <c r="K89" s="324"/>
      <c r="L89" s="47" t="s">
        <v>101</v>
      </c>
      <c r="M89" s="61" t="s">
        <v>86</v>
      </c>
      <c r="N89" s="46"/>
    </row>
    <row r="90" spans="2:14" x14ac:dyDescent="0.25">
      <c r="B90" s="367" t="s">
        <v>184</v>
      </c>
      <c r="C90" s="48" t="s">
        <v>26</v>
      </c>
      <c r="D90" s="49" t="s">
        <v>92</v>
      </c>
      <c r="E90" s="49">
        <v>8</v>
      </c>
      <c r="F90" s="49">
        <v>1</v>
      </c>
      <c r="G90" s="50">
        <v>17</v>
      </c>
      <c r="H90" s="51">
        <f>G90*E90*F90</f>
        <v>136</v>
      </c>
      <c r="I90" s="52"/>
      <c r="J90" s="52"/>
      <c r="K90" s="312">
        <f>((E90+E91)/2)/8</f>
        <v>1</v>
      </c>
      <c r="L90" s="53"/>
      <c r="M90" s="54">
        <v>0.5</v>
      </c>
      <c r="N90" s="50"/>
    </row>
    <row r="91" spans="2:14" x14ac:dyDescent="0.25">
      <c r="B91" s="367"/>
      <c r="C91" s="48" t="s">
        <v>27</v>
      </c>
      <c r="D91" s="49" t="s">
        <v>92</v>
      </c>
      <c r="E91" s="49">
        <v>8</v>
      </c>
      <c r="F91" s="49">
        <v>1</v>
      </c>
      <c r="G91" s="50">
        <v>12</v>
      </c>
      <c r="H91" s="51">
        <f t="shared" ref="H91:H98" si="8">G91*E91*F91</f>
        <v>96</v>
      </c>
      <c r="I91" s="52"/>
      <c r="J91" s="52"/>
      <c r="K91" s="313"/>
      <c r="L91" s="44"/>
      <c r="M91" s="60"/>
      <c r="N91" s="50"/>
    </row>
    <row r="92" spans="2:14" ht="30" x14ac:dyDescent="0.25">
      <c r="B92" s="367"/>
      <c r="C92" s="48" t="s">
        <v>106</v>
      </c>
      <c r="D92" s="49" t="s">
        <v>88</v>
      </c>
      <c r="E92" s="49">
        <f>ROUNDUP((SUM(0.5*I92*5)/25),0)</f>
        <v>2</v>
      </c>
      <c r="F92" s="49">
        <v>1</v>
      </c>
      <c r="G92" s="50">
        <v>2.59</v>
      </c>
      <c r="H92" s="51">
        <f t="shared" si="8"/>
        <v>5.18</v>
      </c>
      <c r="I92" s="52">
        <v>20</v>
      </c>
      <c r="J92" s="52" t="s">
        <v>87</v>
      </c>
      <c r="K92" s="313"/>
      <c r="L92" s="53"/>
      <c r="M92" s="54"/>
      <c r="N92" s="50"/>
    </row>
    <row r="93" spans="2:14" x14ac:dyDescent="0.25">
      <c r="B93" s="367"/>
      <c r="C93" s="48" t="s">
        <v>89</v>
      </c>
      <c r="D93" s="49" t="s">
        <v>102</v>
      </c>
      <c r="E93" s="49">
        <v>1</v>
      </c>
      <c r="F93" s="49">
        <v>1</v>
      </c>
      <c r="G93" s="50">
        <v>25</v>
      </c>
      <c r="H93" s="51">
        <f t="shared" ref="H93:H96" si="9">G93*E93*F93</f>
        <v>25</v>
      </c>
      <c r="I93" s="52"/>
      <c r="J93" s="52"/>
      <c r="K93" s="313"/>
      <c r="L93" s="53"/>
      <c r="M93" s="54"/>
      <c r="N93" s="50"/>
    </row>
    <row r="94" spans="2:14" x14ac:dyDescent="0.25">
      <c r="B94" s="367"/>
      <c r="C94" s="48" t="s">
        <v>90</v>
      </c>
      <c r="D94" s="49" t="s">
        <v>88</v>
      </c>
      <c r="E94" s="49">
        <v>1</v>
      </c>
      <c r="F94" s="49">
        <v>1</v>
      </c>
      <c r="G94" s="50">
        <v>4</v>
      </c>
      <c r="H94" s="51">
        <f t="shared" si="9"/>
        <v>4</v>
      </c>
      <c r="I94" s="52"/>
      <c r="J94" s="52"/>
      <c r="K94" s="313"/>
      <c r="L94" s="53"/>
      <c r="M94" s="54"/>
      <c r="N94" s="50"/>
    </row>
    <row r="95" spans="2:14" x14ac:dyDescent="0.25">
      <c r="B95" s="367"/>
      <c r="C95" s="48" t="s">
        <v>135</v>
      </c>
      <c r="D95" s="49" t="s">
        <v>88</v>
      </c>
      <c r="E95" s="49">
        <v>1</v>
      </c>
      <c r="F95" s="49">
        <v>1</v>
      </c>
      <c r="G95" s="50">
        <v>4</v>
      </c>
      <c r="H95" s="51">
        <f t="shared" si="9"/>
        <v>4</v>
      </c>
      <c r="I95" s="52"/>
      <c r="J95" s="52"/>
      <c r="K95" s="313"/>
      <c r="L95" s="53"/>
      <c r="M95" s="54"/>
      <c r="N95" s="50"/>
    </row>
    <row r="96" spans="2:14" x14ac:dyDescent="0.25">
      <c r="B96" s="367"/>
      <c r="C96" s="48" t="s">
        <v>85</v>
      </c>
      <c r="D96" s="49" t="s">
        <v>88</v>
      </c>
      <c r="E96" s="49">
        <v>1</v>
      </c>
      <c r="F96" s="49">
        <v>1</v>
      </c>
      <c r="G96" s="50">
        <f>200*M90/6</f>
        <v>16.666666666666668</v>
      </c>
      <c r="H96" s="51">
        <f t="shared" si="9"/>
        <v>16.666666666666668</v>
      </c>
      <c r="I96" s="52"/>
      <c r="J96" s="52"/>
      <c r="K96" s="313"/>
      <c r="L96" s="53"/>
      <c r="M96" s="54"/>
      <c r="N96" s="50"/>
    </row>
    <row r="97" spans="2:14" x14ac:dyDescent="0.25">
      <c r="B97" s="367"/>
      <c r="C97" s="48" t="s">
        <v>29</v>
      </c>
      <c r="D97" s="49" t="s">
        <v>88</v>
      </c>
      <c r="E97" s="49">
        <v>1</v>
      </c>
      <c r="F97" s="49">
        <v>1</v>
      </c>
      <c r="G97" s="50">
        <v>20</v>
      </c>
      <c r="H97" s="51">
        <f t="shared" si="8"/>
        <v>20</v>
      </c>
      <c r="I97" s="52"/>
      <c r="J97" s="52"/>
      <c r="K97" s="313"/>
      <c r="L97" s="53"/>
      <c r="M97" s="54"/>
      <c r="N97" s="50"/>
    </row>
    <row r="98" spans="2:14" x14ac:dyDescent="0.25">
      <c r="B98" s="367"/>
      <c r="C98" s="48" t="s">
        <v>22</v>
      </c>
      <c r="D98" s="49" t="s">
        <v>94</v>
      </c>
      <c r="E98" s="49">
        <v>1</v>
      </c>
      <c r="F98" s="49">
        <v>1</v>
      </c>
      <c r="G98" s="50">
        <v>4</v>
      </c>
      <c r="H98" s="51">
        <f t="shared" si="8"/>
        <v>4</v>
      </c>
      <c r="I98" s="52"/>
      <c r="J98" s="52"/>
      <c r="K98" s="313"/>
      <c r="L98" s="53"/>
      <c r="M98" s="54"/>
      <c r="N98" s="50"/>
    </row>
    <row r="99" spans="2:14" x14ac:dyDescent="0.25">
      <c r="B99" s="367"/>
      <c r="C99" s="315" t="s">
        <v>25</v>
      </c>
      <c r="D99" s="315"/>
      <c r="E99" s="315"/>
      <c r="F99" s="315"/>
      <c r="G99" s="315"/>
      <c r="H99" s="55">
        <f>SUM(H90:H98)</f>
        <v>310.84666666666669</v>
      </c>
      <c r="I99" s="52"/>
      <c r="J99" s="52"/>
      <c r="K99" s="313"/>
      <c r="L99" s="53"/>
      <c r="M99" s="54"/>
      <c r="N99" s="50"/>
    </row>
    <row r="100" spans="2:14" x14ac:dyDescent="0.25">
      <c r="B100" s="367"/>
      <c r="C100" s="368" t="s">
        <v>183</v>
      </c>
      <c r="D100" s="369"/>
      <c r="E100" s="368" t="s">
        <v>185</v>
      </c>
      <c r="F100" s="369"/>
      <c r="G100" s="56">
        <v>10</v>
      </c>
      <c r="H100" s="55">
        <f>ROUNDUP((H99/G100),0)</f>
        <v>32</v>
      </c>
      <c r="I100" s="52"/>
      <c r="J100" s="52"/>
      <c r="K100" s="314"/>
      <c r="L100" s="57"/>
      <c r="M100" s="58"/>
      <c r="N100" s="50"/>
    </row>
    <row r="101" spans="2:14" x14ac:dyDescent="0.25">
      <c r="B101" s="64"/>
      <c r="C101" s="68"/>
      <c r="D101" s="68"/>
      <c r="E101" s="68"/>
      <c r="F101" s="68"/>
      <c r="G101" s="69"/>
      <c r="H101" s="70"/>
      <c r="I101" s="65"/>
      <c r="J101" s="65"/>
      <c r="K101" s="65"/>
      <c r="L101" s="65"/>
      <c r="M101" s="66"/>
      <c r="N101" s="67"/>
    </row>
    <row r="102" spans="2:14" x14ac:dyDescent="0.25">
      <c r="B102" s="327" t="s">
        <v>0</v>
      </c>
      <c r="C102" s="327" t="s">
        <v>19</v>
      </c>
      <c r="D102" s="327" t="s">
        <v>14</v>
      </c>
      <c r="E102" s="329" t="s">
        <v>1</v>
      </c>
      <c r="F102" s="330"/>
      <c r="G102" s="319" t="s">
        <v>20</v>
      </c>
      <c r="H102" s="319" t="s">
        <v>21</v>
      </c>
      <c r="I102" s="321" t="s">
        <v>96</v>
      </c>
      <c r="J102" s="322"/>
      <c r="K102" s="323" t="s">
        <v>84</v>
      </c>
      <c r="L102" s="325" t="s">
        <v>85</v>
      </c>
      <c r="M102" s="326"/>
      <c r="N102" s="46" t="s">
        <v>28</v>
      </c>
    </row>
    <row r="103" spans="2:14" x14ac:dyDescent="0.25">
      <c r="B103" s="328"/>
      <c r="C103" s="328"/>
      <c r="D103" s="328"/>
      <c r="E103" s="59" t="s">
        <v>104</v>
      </c>
      <c r="F103" s="45" t="s">
        <v>103</v>
      </c>
      <c r="G103" s="320"/>
      <c r="H103" s="320"/>
      <c r="I103" s="91" t="s">
        <v>100</v>
      </c>
      <c r="J103" s="92" t="s">
        <v>99</v>
      </c>
      <c r="K103" s="324"/>
      <c r="L103" s="47" t="s">
        <v>101</v>
      </c>
      <c r="M103" s="61" t="s">
        <v>86</v>
      </c>
      <c r="N103" s="46"/>
    </row>
    <row r="104" spans="2:14" x14ac:dyDescent="0.25">
      <c r="B104" s="367" t="s">
        <v>136</v>
      </c>
      <c r="C104" s="48" t="s">
        <v>26</v>
      </c>
      <c r="D104" s="49" t="s">
        <v>92</v>
      </c>
      <c r="E104" s="49">
        <v>16</v>
      </c>
      <c r="F104" s="49">
        <v>1</v>
      </c>
      <c r="G104" s="50">
        <v>17</v>
      </c>
      <c r="H104" s="51">
        <f>G104*E104*F104</f>
        <v>272</v>
      </c>
      <c r="I104" s="52">
        <f>$G$114/(1*8*$K$104)</f>
        <v>0.625</v>
      </c>
      <c r="J104" s="52" t="s">
        <v>137</v>
      </c>
      <c r="K104" s="312">
        <f>((E104+E105)/2)/8</f>
        <v>2</v>
      </c>
      <c r="L104" s="53"/>
      <c r="M104" s="54">
        <v>0.5</v>
      </c>
      <c r="N104" s="50"/>
    </row>
    <row r="105" spans="2:14" x14ac:dyDescent="0.25">
      <c r="B105" s="367"/>
      <c r="C105" s="48" t="s">
        <v>27</v>
      </c>
      <c r="D105" s="49" t="s">
        <v>92</v>
      </c>
      <c r="E105" s="49">
        <v>16</v>
      </c>
      <c r="F105" s="49">
        <v>1</v>
      </c>
      <c r="G105" s="50">
        <v>12</v>
      </c>
      <c r="H105" s="51">
        <f t="shared" ref="H105:H112" si="10">G105*E105*F105</f>
        <v>192</v>
      </c>
      <c r="I105" s="52">
        <f>$G$114/(1*8*$K$104)</f>
        <v>0.625</v>
      </c>
      <c r="J105" s="52" t="s">
        <v>137</v>
      </c>
      <c r="K105" s="313"/>
      <c r="L105" s="44"/>
      <c r="M105" s="60"/>
      <c r="N105" s="50"/>
    </row>
    <row r="106" spans="2:14" ht="30" x14ac:dyDescent="0.25">
      <c r="B106" s="367"/>
      <c r="C106" s="48" t="s">
        <v>106</v>
      </c>
      <c r="D106" s="49" t="s">
        <v>88</v>
      </c>
      <c r="E106" s="49">
        <v>4</v>
      </c>
      <c r="F106" s="49">
        <v>1</v>
      </c>
      <c r="G106" s="50">
        <v>2.59</v>
      </c>
      <c r="H106" s="51">
        <f t="shared" si="10"/>
        <v>10.36</v>
      </c>
      <c r="I106" s="52">
        <v>20</v>
      </c>
      <c r="J106" s="52" t="s">
        <v>87</v>
      </c>
      <c r="K106" s="313"/>
      <c r="L106" s="53"/>
      <c r="M106" s="54"/>
      <c r="N106" s="50"/>
    </row>
    <row r="107" spans="2:14" x14ac:dyDescent="0.25">
      <c r="B107" s="367"/>
      <c r="C107" s="48" t="s">
        <v>89</v>
      </c>
      <c r="D107" s="49" t="s">
        <v>102</v>
      </c>
      <c r="E107" s="49">
        <v>1</v>
      </c>
      <c r="F107" s="49">
        <v>1</v>
      </c>
      <c r="G107" s="50">
        <v>25</v>
      </c>
      <c r="H107" s="51">
        <f t="shared" ref="H107:H110" si="11">G107*E107*F107</f>
        <v>25</v>
      </c>
      <c r="I107" s="52"/>
      <c r="J107" s="52"/>
      <c r="K107" s="313"/>
      <c r="L107" s="53"/>
      <c r="M107" s="54"/>
      <c r="N107" s="50"/>
    </row>
    <row r="108" spans="2:14" x14ac:dyDescent="0.25">
      <c r="B108" s="367"/>
      <c r="C108" s="48" t="s">
        <v>90</v>
      </c>
      <c r="D108" s="49" t="s">
        <v>88</v>
      </c>
      <c r="E108" s="49">
        <v>1</v>
      </c>
      <c r="F108" s="49">
        <v>1</v>
      </c>
      <c r="G108" s="50">
        <v>4</v>
      </c>
      <c r="H108" s="51">
        <f t="shared" si="11"/>
        <v>4</v>
      </c>
      <c r="I108" s="52"/>
      <c r="J108" s="52"/>
      <c r="K108" s="313"/>
      <c r="L108" s="53"/>
      <c r="M108" s="54"/>
      <c r="N108" s="50"/>
    </row>
    <row r="109" spans="2:14" x14ac:dyDescent="0.25">
      <c r="B109" s="367"/>
      <c r="C109" s="48" t="s">
        <v>135</v>
      </c>
      <c r="D109" s="49" t="s">
        <v>88</v>
      </c>
      <c r="E109" s="49">
        <v>1</v>
      </c>
      <c r="F109" s="49">
        <v>1</v>
      </c>
      <c r="G109" s="50">
        <v>4</v>
      </c>
      <c r="H109" s="51">
        <f t="shared" si="11"/>
        <v>4</v>
      </c>
      <c r="I109" s="52"/>
      <c r="J109" s="52"/>
      <c r="K109" s="313"/>
      <c r="L109" s="53"/>
      <c r="M109" s="54"/>
      <c r="N109" s="50"/>
    </row>
    <row r="110" spans="2:14" x14ac:dyDescent="0.25">
      <c r="B110" s="367"/>
      <c r="C110" s="48" t="s">
        <v>85</v>
      </c>
      <c r="D110" s="49" t="s">
        <v>88</v>
      </c>
      <c r="E110" s="49">
        <v>1</v>
      </c>
      <c r="F110" s="49">
        <v>1</v>
      </c>
      <c r="G110" s="50">
        <f>200*M104/6</f>
        <v>16.666666666666668</v>
      </c>
      <c r="H110" s="51">
        <f t="shared" si="11"/>
        <v>16.666666666666668</v>
      </c>
      <c r="I110" s="52"/>
      <c r="J110" s="52"/>
      <c r="K110" s="313"/>
      <c r="L110" s="53"/>
      <c r="M110" s="54"/>
      <c r="N110" s="50"/>
    </row>
    <row r="111" spans="2:14" x14ac:dyDescent="0.25">
      <c r="B111" s="367"/>
      <c r="C111" s="48" t="s">
        <v>29</v>
      </c>
      <c r="D111" s="49" t="s">
        <v>88</v>
      </c>
      <c r="E111" s="49">
        <v>1</v>
      </c>
      <c r="F111" s="49">
        <v>2</v>
      </c>
      <c r="G111" s="50">
        <v>20</v>
      </c>
      <c r="H111" s="51">
        <f t="shared" si="10"/>
        <v>40</v>
      </c>
      <c r="I111" s="52"/>
      <c r="J111" s="52"/>
      <c r="K111" s="313"/>
      <c r="L111" s="53"/>
      <c r="M111" s="54"/>
      <c r="N111" s="50"/>
    </row>
    <row r="112" spans="2:14" x14ac:dyDescent="0.25">
      <c r="B112" s="367"/>
      <c r="C112" s="48" t="s">
        <v>22</v>
      </c>
      <c r="D112" s="49" t="s">
        <v>94</v>
      </c>
      <c r="E112" s="49">
        <v>1</v>
      </c>
      <c r="F112" s="49">
        <v>1</v>
      </c>
      <c r="G112" s="50">
        <v>5</v>
      </c>
      <c r="H112" s="51">
        <f t="shared" si="10"/>
        <v>5</v>
      </c>
      <c r="I112" s="52"/>
      <c r="J112" s="52"/>
      <c r="K112" s="313"/>
      <c r="L112" s="53"/>
      <c r="M112" s="54"/>
      <c r="N112" s="50"/>
    </row>
    <row r="113" spans="2:14" x14ac:dyDescent="0.25">
      <c r="B113" s="367"/>
      <c r="C113" s="315" t="s">
        <v>25</v>
      </c>
      <c r="D113" s="315"/>
      <c r="E113" s="315"/>
      <c r="F113" s="315"/>
      <c r="G113" s="315"/>
      <c r="H113" s="55">
        <f>SUM(H104:H112)</f>
        <v>569.02666666666664</v>
      </c>
      <c r="I113" s="52"/>
      <c r="J113" s="52"/>
      <c r="K113" s="313"/>
      <c r="L113" s="53"/>
      <c r="M113" s="54"/>
      <c r="N113" s="50"/>
    </row>
    <row r="114" spans="2:14" x14ac:dyDescent="0.25">
      <c r="B114" s="367"/>
      <c r="C114" s="368" t="s">
        <v>183</v>
      </c>
      <c r="D114" s="369"/>
      <c r="E114" s="368" t="s">
        <v>185</v>
      </c>
      <c r="F114" s="369"/>
      <c r="G114" s="56">
        <v>10</v>
      </c>
      <c r="H114" s="55">
        <f>ROUNDUP((H113/G114),0)</f>
        <v>57</v>
      </c>
      <c r="I114" s="52"/>
      <c r="J114" s="52"/>
      <c r="K114" s="314"/>
      <c r="L114" s="57"/>
      <c r="M114" s="58"/>
      <c r="N114" s="50"/>
    </row>
    <row r="115" spans="2:14" x14ac:dyDescent="0.25">
      <c r="B115" s="64"/>
      <c r="C115" s="68"/>
      <c r="D115" s="68"/>
      <c r="E115" s="68"/>
      <c r="F115" s="68"/>
      <c r="G115" s="69"/>
      <c r="H115" s="70"/>
      <c r="I115" s="65"/>
      <c r="J115" s="65"/>
      <c r="K115" s="65"/>
      <c r="L115" s="65"/>
      <c r="M115" s="66"/>
      <c r="N115" s="67"/>
    </row>
    <row r="116" spans="2:14" x14ac:dyDescent="0.25">
      <c r="B116" s="327" t="s">
        <v>0</v>
      </c>
      <c r="C116" s="327" t="s">
        <v>19</v>
      </c>
      <c r="D116" s="327" t="s">
        <v>14</v>
      </c>
      <c r="E116" s="329" t="s">
        <v>1</v>
      </c>
      <c r="F116" s="330"/>
      <c r="G116" s="319" t="s">
        <v>20</v>
      </c>
      <c r="H116" s="319" t="s">
        <v>21</v>
      </c>
      <c r="I116" s="321" t="s">
        <v>96</v>
      </c>
      <c r="J116" s="322"/>
      <c r="K116" s="323" t="s">
        <v>84</v>
      </c>
      <c r="L116" s="325" t="s">
        <v>85</v>
      </c>
      <c r="M116" s="326"/>
      <c r="N116" s="46" t="s">
        <v>28</v>
      </c>
    </row>
    <row r="117" spans="2:14" x14ac:dyDescent="0.25">
      <c r="B117" s="328"/>
      <c r="C117" s="328"/>
      <c r="D117" s="328"/>
      <c r="E117" s="59" t="s">
        <v>104</v>
      </c>
      <c r="F117" s="45" t="s">
        <v>103</v>
      </c>
      <c r="G117" s="320"/>
      <c r="H117" s="320"/>
      <c r="I117" s="91" t="s">
        <v>100</v>
      </c>
      <c r="J117" s="92" t="s">
        <v>99</v>
      </c>
      <c r="K117" s="324"/>
      <c r="L117" s="47" t="s">
        <v>101</v>
      </c>
      <c r="M117" s="61" t="s">
        <v>86</v>
      </c>
      <c r="N117" s="46"/>
    </row>
    <row r="118" spans="2:14" x14ac:dyDescent="0.25">
      <c r="B118" s="367" t="s">
        <v>138</v>
      </c>
      <c r="C118" s="48" t="s">
        <v>26</v>
      </c>
      <c r="D118" s="49" t="s">
        <v>92</v>
      </c>
      <c r="E118" s="49">
        <v>4</v>
      </c>
      <c r="F118" s="49">
        <v>0</v>
      </c>
      <c r="G118" s="50">
        <v>17</v>
      </c>
      <c r="H118" s="51">
        <f>G118*E118*F118</f>
        <v>0</v>
      </c>
      <c r="I118" s="52"/>
      <c r="J118" s="52"/>
      <c r="K118" s="312">
        <f>((E118+E119)/2)/8</f>
        <v>0.5</v>
      </c>
      <c r="L118" s="53"/>
      <c r="M118" s="54">
        <f>G128*0.15*1.05</f>
        <v>1.5750000000000002</v>
      </c>
      <c r="N118" s="50"/>
    </row>
    <row r="119" spans="2:14" x14ac:dyDescent="0.25">
      <c r="B119" s="367"/>
      <c r="C119" s="48" t="s">
        <v>27</v>
      </c>
      <c r="D119" s="49" t="s">
        <v>92</v>
      </c>
      <c r="E119" s="49">
        <v>4</v>
      </c>
      <c r="F119" s="49">
        <v>2</v>
      </c>
      <c r="G119" s="50">
        <v>12</v>
      </c>
      <c r="H119" s="51">
        <f t="shared" ref="H119:H126" si="12">G119*E119*F119</f>
        <v>96</v>
      </c>
      <c r="I119" s="52"/>
      <c r="J119" s="52"/>
      <c r="K119" s="313"/>
      <c r="L119" s="44"/>
      <c r="M119" s="60"/>
      <c r="N119" s="50"/>
    </row>
    <row r="120" spans="2:14" x14ac:dyDescent="0.25">
      <c r="B120" s="367"/>
      <c r="C120" s="48" t="s">
        <v>89</v>
      </c>
      <c r="D120" s="49" t="s">
        <v>102</v>
      </c>
      <c r="E120" s="49">
        <v>1</v>
      </c>
      <c r="F120" s="49">
        <v>1</v>
      </c>
      <c r="G120" s="50">
        <v>25</v>
      </c>
      <c r="H120" s="51">
        <f t="shared" si="12"/>
        <v>25</v>
      </c>
      <c r="I120" s="52"/>
      <c r="J120" s="52"/>
      <c r="K120" s="313"/>
      <c r="L120" s="53"/>
      <c r="M120" s="54"/>
      <c r="N120" s="50"/>
    </row>
    <row r="121" spans="2:14" x14ac:dyDescent="0.25">
      <c r="B121" s="367"/>
      <c r="C121" s="48" t="s">
        <v>90</v>
      </c>
      <c r="D121" s="49" t="s">
        <v>88</v>
      </c>
      <c r="E121" s="49">
        <v>1</v>
      </c>
      <c r="F121" s="49">
        <v>1</v>
      </c>
      <c r="G121" s="50">
        <v>4</v>
      </c>
      <c r="H121" s="51">
        <f t="shared" si="12"/>
        <v>4</v>
      </c>
      <c r="I121" s="52"/>
      <c r="J121" s="52"/>
      <c r="K121" s="313"/>
      <c r="L121" s="53"/>
      <c r="M121" s="54"/>
      <c r="N121" s="50"/>
    </row>
    <row r="122" spans="2:14" ht="30" x14ac:dyDescent="0.25">
      <c r="B122" s="367"/>
      <c r="C122" s="48" t="s">
        <v>124</v>
      </c>
      <c r="D122" s="49" t="s">
        <v>102</v>
      </c>
      <c r="E122" s="49">
        <v>1</v>
      </c>
      <c r="F122" s="49">
        <v>1</v>
      </c>
      <c r="G122" s="50">
        <f>1950/365</f>
        <v>5.3424657534246576</v>
      </c>
      <c r="H122" s="51">
        <f t="shared" si="12"/>
        <v>5.3424657534246576</v>
      </c>
      <c r="I122" s="52"/>
      <c r="J122" s="52"/>
      <c r="K122" s="313"/>
      <c r="L122" s="53"/>
      <c r="M122" s="54"/>
      <c r="N122" s="50"/>
    </row>
    <row r="123" spans="2:14" x14ac:dyDescent="0.25">
      <c r="B123" s="367"/>
      <c r="C123" s="48" t="s">
        <v>91</v>
      </c>
      <c r="D123" s="49" t="s">
        <v>88</v>
      </c>
      <c r="E123" s="49">
        <v>1</v>
      </c>
      <c r="F123" s="49">
        <v>1</v>
      </c>
      <c r="G123" s="50">
        <v>12</v>
      </c>
      <c r="H123" s="51">
        <f t="shared" si="12"/>
        <v>12</v>
      </c>
      <c r="I123" s="52"/>
      <c r="J123" s="52"/>
      <c r="K123" s="313"/>
      <c r="L123" s="53"/>
      <c r="M123" s="54"/>
      <c r="N123" s="50"/>
    </row>
    <row r="124" spans="2:14" x14ac:dyDescent="0.25">
      <c r="B124" s="367"/>
      <c r="C124" s="48" t="s">
        <v>85</v>
      </c>
      <c r="D124" s="49" t="s">
        <v>88</v>
      </c>
      <c r="E124" s="49">
        <f>ROUNDUP((SUM(M118:M118)/300),0)</f>
        <v>1</v>
      </c>
      <c r="F124" s="49">
        <v>1</v>
      </c>
      <c r="G124" s="50">
        <f>200*M118/6</f>
        <v>52.500000000000007</v>
      </c>
      <c r="H124" s="51">
        <f t="shared" si="12"/>
        <v>52.500000000000007</v>
      </c>
      <c r="I124" s="52"/>
      <c r="J124" s="52"/>
      <c r="K124" s="313"/>
      <c r="L124" s="53"/>
      <c r="M124" s="54"/>
      <c r="N124" s="50"/>
    </row>
    <row r="125" spans="2:14" x14ac:dyDescent="0.25">
      <c r="B125" s="367"/>
      <c r="C125" s="48" t="s">
        <v>29</v>
      </c>
      <c r="D125" s="49" t="s">
        <v>88</v>
      </c>
      <c r="E125" s="49">
        <v>1</v>
      </c>
      <c r="F125" s="49">
        <v>1</v>
      </c>
      <c r="G125" s="50">
        <v>20</v>
      </c>
      <c r="H125" s="51">
        <f t="shared" si="12"/>
        <v>20</v>
      </c>
      <c r="I125" s="52"/>
      <c r="J125" s="52"/>
      <c r="K125" s="313"/>
      <c r="L125" s="53"/>
      <c r="M125" s="54"/>
      <c r="N125" s="50"/>
    </row>
    <row r="126" spans="2:14" x14ac:dyDescent="0.25">
      <c r="B126" s="367"/>
      <c r="C126" s="48" t="s">
        <v>22</v>
      </c>
      <c r="D126" s="49" t="s">
        <v>94</v>
      </c>
      <c r="E126" s="49">
        <v>1</v>
      </c>
      <c r="F126" s="49">
        <v>1</v>
      </c>
      <c r="G126" s="50">
        <v>10</v>
      </c>
      <c r="H126" s="51">
        <f t="shared" si="12"/>
        <v>10</v>
      </c>
      <c r="I126" s="52"/>
      <c r="J126" s="52"/>
      <c r="K126" s="313"/>
      <c r="L126" s="53"/>
      <c r="M126" s="54"/>
      <c r="N126" s="50"/>
    </row>
    <row r="127" spans="2:14" x14ac:dyDescent="0.25">
      <c r="B127" s="367"/>
      <c r="C127" s="315" t="s">
        <v>25</v>
      </c>
      <c r="D127" s="315"/>
      <c r="E127" s="315"/>
      <c r="F127" s="315"/>
      <c r="G127" s="315"/>
      <c r="H127" s="55">
        <f>SUM(H118:H126)</f>
        <v>224.84246575342465</v>
      </c>
      <c r="I127" s="52"/>
      <c r="J127" s="52"/>
      <c r="K127" s="313"/>
      <c r="L127" s="53"/>
      <c r="M127" s="54"/>
      <c r="N127" s="50"/>
    </row>
    <row r="128" spans="2:14" x14ac:dyDescent="0.25">
      <c r="B128" s="367"/>
      <c r="C128" s="368" t="s">
        <v>24</v>
      </c>
      <c r="D128" s="369"/>
      <c r="E128" s="368" t="s">
        <v>97</v>
      </c>
      <c r="F128" s="369"/>
      <c r="G128" s="56">
        <v>10</v>
      </c>
      <c r="H128" s="55">
        <f>ROUNDUP((H127/G128),0)</f>
        <v>23</v>
      </c>
      <c r="I128" s="52"/>
      <c r="J128" s="52"/>
      <c r="K128" s="314"/>
      <c r="L128" s="57"/>
      <c r="M128" s="58"/>
      <c r="N128" s="50"/>
    </row>
    <row r="129" spans="2:14" x14ac:dyDescent="0.25">
      <c r="B129" s="64"/>
      <c r="C129" s="68"/>
      <c r="D129" s="68"/>
      <c r="E129" s="68"/>
      <c r="F129" s="68"/>
      <c r="G129" s="69"/>
      <c r="H129" s="70"/>
      <c r="I129" s="65"/>
      <c r="J129" s="65"/>
      <c r="K129" s="65"/>
      <c r="L129" s="65"/>
      <c r="M129" s="66"/>
      <c r="N129" s="67"/>
    </row>
    <row r="130" spans="2:14" x14ac:dyDescent="0.25">
      <c r="B130" s="327" t="s">
        <v>0</v>
      </c>
      <c r="C130" s="327" t="s">
        <v>19</v>
      </c>
      <c r="D130" s="327" t="s">
        <v>14</v>
      </c>
      <c r="E130" s="329" t="s">
        <v>1</v>
      </c>
      <c r="F130" s="330"/>
      <c r="G130" s="319" t="s">
        <v>20</v>
      </c>
      <c r="H130" s="319" t="s">
        <v>21</v>
      </c>
      <c r="I130" s="321" t="s">
        <v>96</v>
      </c>
      <c r="J130" s="322"/>
      <c r="K130" s="323" t="s">
        <v>84</v>
      </c>
      <c r="L130" s="325" t="s">
        <v>85</v>
      </c>
      <c r="M130" s="326"/>
      <c r="N130" s="46" t="s">
        <v>28</v>
      </c>
    </row>
    <row r="131" spans="2:14" x14ac:dyDescent="0.25">
      <c r="B131" s="328"/>
      <c r="C131" s="328"/>
      <c r="D131" s="328"/>
      <c r="E131" s="59" t="s">
        <v>104</v>
      </c>
      <c r="F131" s="45" t="s">
        <v>103</v>
      </c>
      <c r="G131" s="320"/>
      <c r="H131" s="320"/>
      <c r="I131" s="91" t="s">
        <v>100</v>
      </c>
      <c r="J131" s="92" t="s">
        <v>99</v>
      </c>
      <c r="K131" s="324"/>
      <c r="L131" s="47" t="s">
        <v>101</v>
      </c>
      <c r="M131" s="61" t="s">
        <v>86</v>
      </c>
      <c r="N131" s="46"/>
    </row>
    <row r="132" spans="2:14" x14ac:dyDescent="0.25">
      <c r="B132" s="367" t="s">
        <v>139</v>
      </c>
      <c r="C132" s="48" t="s">
        <v>26</v>
      </c>
      <c r="D132" s="49" t="s">
        <v>92</v>
      </c>
      <c r="E132" s="49">
        <v>4</v>
      </c>
      <c r="F132" s="49">
        <v>0</v>
      </c>
      <c r="G132" s="50">
        <v>17</v>
      </c>
      <c r="H132" s="51">
        <f>G132*E132*F132</f>
        <v>0</v>
      </c>
      <c r="I132" s="52"/>
      <c r="J132" s="52"/>
      <c r="K132" s="312">
        <f>((E132+E133)/2)/8</f>
        <v>0.5</v>
      </c>
      <c r="L132" s="53"/>
      <c r="M132" s="54">
        <f>G142*0.25*1.1</f>
        <v>2.75</v>
      </c>
      <c r="N132" s="50"/>
    </row>
    <row r="133" spans="2:14" x14ac:dyDescent="0.25">
      <c r="B133" s="367"/>
      <c r="C133" s="48" t="s">
        <v>27</v>
      </c>
      <c r="D133" s="49" t="s">
        <v>92</v>
      </c>
      <c r="E133" s="49">
        <v>4</v>
      </c>
      <c r="F133" s="49">
        <v>2</v>
      </c>
      <c r="G133" s="50">
        <v>12</v>
      </c>
      <c r="H133" s="51">
        <f t="shared" ref="H133:H140" si="13">G133*E133*F133</f>
        <v>96</v>
      </c>
      <c r="I133" s="52"/>
      <c r="J133" s="52"/>
      <c r="K133" s="313"/>
      <c r="L133" s="44"/>
      <c r="M133" s="60"/>
      <c r="N133" s="50"/>
    </row>
    <row r="134" spans="2:14" x14ac:dyDescent="0.25">
      <c r="B134" s="367"/>
      <c r="C134" s="48" t="s">
        <v>89</v>
      </c>
      <c r="D134" s="49" t="s">
        <v>102</v>
      </c>
      <c r="E134" s="49">
        <v>1</v>
      </c>
      <c r="F134" s="49">
        <v>1</v>
      </c>
      <c r="G134" s="50">
        <v>25</v>
      </c>
      <c r="H134" s="51">
        <f t="shared" si="13"/>
        <v>25</v>
      </c>
      <c r="I134" s="52"/>
      <c r="J134" s="52"/>
      <c r="K134" s="313"/>
      <c r="L134" s="53"/>
      <c r="M134" s="54"/>
      <c r="N134" s="50"/>
    </row>
    <row r="135" spans="2:14" x14ac:dyDescent="0.25">
      <c r="B135" s="367"/>
      <c r="C135" s="48" t="s">
        <v>90</v>
      </c>
      <c r="D135" s="49" t="s">
        <v>88</v>
      </c>
      <c r="E135" s="49">
        <v>1</v>
      </c>
      <c r="F135" s="49">
        <v>1</v>
      </c>
      <c r="G135" s="50">
        <v>4</v>
      </c>
      <c r="H135" s="51">
        <f t="shared" si="13"/>
        <v>4</v>
      </c>
      <c r="I135" s="52"/>
      <c r="J135" s="52"/>
      <c r="K135" s="313"/>
      <c r="L135" s="53"/>
      <c r="M135" s="54"/>
      <c r="N135" s="50"/>
    </row>
    <row r="136" spans="2:14" ht="30" x14ac:dyDescent="0.25">
      <c r="B136" s="367"/>
      <c r="C136" s="48" t="s">
        <v>124</v>
      </c>
      <c r="D136" s="49" t="s">
        <v>102</v>
      </c>
      <c r="E136" s="49">
        <v>1</v>
      </c>
      <c r="F136" s="49">
        <v>1</v>
      </c>
      <c r="G136" s="50">
        <f>1950/365</f>
        <v>5.3424657534246576</v>
      </c>
      <c r="H136" s="51">
        <f t="shared" si="13"/>
        <v>5.3424657534246576</v>
      </c>
      <c r="I136" s="52"/>
      <c r="J136" s="52"/>
      <c r="K136" s="313"/>
      <c r="L136" s="53"/>
      <c r="M136" s="54"/>
      <c r="N136" s="50"/>
    </row>
    <row r="137" spans="2:14" x14ac:dyDescent="0.25">
      <c r="B137" s="367"/>
      <c r="C137" s="48" t="s">
        <v>91</v>
      </c>
      <c r="D137" s="49" t="s">
        <v>88</v>
      </c>
      <c r="E137" s="49">
        <v>1</v>
      </c>
      <c r="F137" s="49">
        <v>1</v>
      </c>
      <c r="G137" s="50">
        <v>12</v>
      </c>
      <c r="H137" s="51">
        <f t="shared" si="13"/>
        <v>12</v>
      </c>
      <c r="I137" s="52"/>
      <c r="J137" s="52"/>
      <c r="K137" s="313"/>
      <c r="L137" s="53"/>
      <c r="M137" s="54"/>
      <c r="N137" s="50"/>
    </row>
    <row r="138" spans="2:14" x14ac:dyDescent="0.25">
      <c r="B138" s="367"/>
      <c r="C138" s="48" t="s">
        <v>85</v>
      </c>
      <c r="D138" s="49" t="s">
        <v>88</v>
      </c>
      <c r="E138" s="49">
        <f>ROUNDUP((SUM(M132:M132)/300),0)</f>
        <v>1</v>
      </c>
      <c r="F138" s="49">
        <v>1</v>
      </c>
      <c r="G138" s="50">
        <f>200*M132/6</f>
        <v>91.666666666666671</v>
      </c>
      <c r="H138" s="51">
        <f t="shared" si="13"/>
        <v>91.666666666666671</v>
      </c>
      <c r="I138" s="52"/>
      <c r="J138" s="52"/>
      <c r="K138" s="313"/>
      <c r="L138" s="53"/>
      <c r="M138" s="54"/>
      <c r="N138" s="50"/>
    </row>
    <row r="139" spans="2:14" x14ac:dyDescent="0.25">
      <c r="B139" s="367"/>
      <c r="C139" s="48" t="s">
        <v>29</v>
      </c>
      <c r="D139" s="49" t="s">
        <v>88</v>
      </c>
      <c r="E139" s="49">
        <v>1</v>
      </c>
      <c r="F139" s="49">
        <v>1</v>
      </c>
      <c r="G139" s="50">
        <v>20</v>
      </c>
      <c r="H139" s="51">
        <f t="shared" si="13"/>
        <v>20</v>
      </c>
      <c r="I139" s="52"/>
      <c r="J139" s="52"/>
      <c r="K139" s="313"/>
      <c r="L139" s="53"/>
      <c r="M139" s="54"/>
      <c r="N139" s="50"/>
    </row>
    <row r="140" spans="2:14" x14ac:dyDescent="0.25">
      <c r="B140" s="367"/>
      <c r="C140" s="48" t="s">
        <v>22</v>
      </c>
      <c r="D140" s="49" t="s">
        <v>94</v>
      </c>
      <c r="E140" s="49">
        <v>1</v>
      </c>
      <c r="F140" s="49">
        <v>1</v>
      </c>
      <c r="G140" s="50">
        <v>10</v>
      </c>
      <c r="H140" s="51">
        <f t="shared" si="13"/>
        <v>10</v>
      </c>
      <c r="I140" s="52"/>
      <c r="J140" s="52"/>
      <c r="K140" s="313"/>
      <c r="L140" s="53"/>
      <c r="M140" s="54"/>
      <c r="N140" s="50"/>
    </row>
    <row r="141" spans="2:14" x14ac:dyDescent="0.25">
      <c r="B141" s="367"/>
      <c r="C141" s="315" t="s">
        <v>25</v>
      </c>
      <c r="D141" s="315"/>
      <c r="E141" s="315"/>
      <c r="F141" s="315"/>
      <c r="G141" s="315"/>
      <c r="H141" s="55">
        <f>SUM(H132:H140)</f>
        <v>264.0091324200913</v>
      </c>
      <c r="I141" s="52"/>
      <c r="J141" s="52"/>
      <c r="K141" s="313"/>
      <c r="L141" s="53"/>
      <c r="M141" s="54"/>
      <c r="N141" s="50"/>
    </row>
    <row r="142" spans="2:14" x14ac:dyDescent="0.25">
      <c r="B142" s="367"/>
      <c r="C142" s="368" t="s">
        <v>24</v>
      </c>
      <c r="D142" s="369"/>
      <c r="E142" s="368" t="s">
        <v>97</v>
      </c>
      <c r="F142" s="369"/>
      <c r="G142" s="56">
        <v>10</v>
      </c>
      <c r="H142" s="55">
        <f>ROUNDUP((H141/G142),0)</f>
        <v>27</v>
      </c>
      <c r="I142" s="52"/>
      <c r="J142" s="52"/>
      <c r="K142" s="314"/>
      <c r="L142" s="57"/>
      <c r="M142" s="58"/>
      <c r="N142" s="50"/>
    </row>
    <row r="143" spans="2:14" x14ac:dyDescent="0.25">
      <c r="B143" s="64"/>
      <c r="C143" s="68"/>
      <c r="D143" s="68"/>
      <c r="E143" s="68"/>
      <c r="F143" s="68"/>
      <c r="G143" s="69"/>
      <c r="H143" s="70"/>
      <c r="I143" s="65"/>
      <c r="J143" s="65"/>
      <c r="K143" s="65"/>
      <c r="L143" s="65"/>
      <c r="M143" s="66"/>
      <c r="N143" s="67"/>
    </row>
    <row r="144" spans="2:14" x14ac:dyDescent="0.25">
      <c r="B144" s="327" t="s">
        <v>0</v>
      </c>
      <c r="C144" s="327" t="s">
        <v>19</v>
      </c>
      <c r="D144" s="327" t="s">
        <v>14</v>
      </c>
      <c r="E144" s="329" t="s">
        <v>1</v>
      </c>
      <c r="F144" s="330"/>
      <c r="G144" s="319" t="s">
        <v>20</v>
      </c>
      <c r="H144" s="319" t="s">
        <v>21</v>
      </c>
      <c r="I144" s="321" t="s">
        <v>96</v>
      </c>
      <c r="J144" s="322"/>
      <c r="K144" s="323" t="s">
        <v>84</v>
      </c>
      <c r="L144" s="325" t="s">
        <v>85</v>
      </c>
      <c r="M144" s="326"/>
      <c r="N144" s="46" t="s">
        <v>28</v>
      </c>
    </row>
    <row r="145" spans="2:14" x14ac:dyDescent="0.25">
      <c r="B145" s="328"/>
      <c r="C145" s="328"/>
      <c r="D145" s="328"/>
      <c r="E145" s="59" t="s">
        <v>104</v>
      </c>
      <c r="F145" s="45" t="s">
        <v>103</v>
      </c>
      <c r="G145" s="320"/>
      <c r="H145" s="320"/>
      <c r="I145" s="91" t="s">
        <v>100</v>
      </c>
      <c r="J145" s="92" t="s">
        <v>99</v>
      </c>
      <c r="K145" s="324"/>
      <c r="L145" s="47" t="s">
        <v>101</v>
      </c>
      <c r="M145" s="61" t="s">
        <v>86</v>
      </c>
      <c r="N145" s="46"/>
    </row>
    <row r="146" spans="2:14" x14ac:dyDescent="0.25">
      <c r="B146" s="367" t="s">
        <v>128</v>
      </c>
      <c r="C146" s="48" t="s">
        <v>26</v>
      </c>
      <c r="D146" s="49" t="s">
        <v>92</v>
      </c>
      <c r="E146" s="49">
        <v>16</v>
      </c>
      <c r="F146" s="49">
        <v>1</v>
      </c>
      <c r="G146" s="50">
        <v>17</v>
      </c>
      <c r="H146" s="51">
        <f>G146*E146*F146</f>
        <v>272</v>
      </c>
      <c r="I146" s="52"/>
      <c r="J146" s="52"/>
      <c r="K146" s="312">
        <f>((E146+E147)/2)/8</f>
        <v>2</v>
      </c>
      <c r="L146" s="53"/>
      <c r="M146" s="54">
        <f>10*5*0.04*1.05</f>
        <v>2.1</v>
      </c>
      <c r="N146" s="50"/>
    </row>
    <row r="147" spans="2:14" x14ac:dyDescent="0.25">
      <c r="B147" s="367"/>
      <c r="C147" s="48" t="s">
        <v>27</v>
      </c>
      <c r="D147" s="49" t="s">
        <v>92</v>
      </c>
      <c r="E147" s="49">
        <v>16</v>
      </c>
      <c r="F147" s="49">
        <v>1</v>
      </c>
      <c r="G147" s="50">
        <v>12</v>
      </c>
      <c r="H147" s="51">
        <f t="shared" ref="H147:H154" si="14">G147*E147*F147</f>
        <v>192</v>
      </c>
      <c r="I147" s="52"/>
      <c r="J147" s="52"/>
      <c r="K147" s="313"/>
      <c r="L147" s="44"/>
      <c r="M147" s="60"/>
      <c r="N147" s="50"/>
    </row>
    <row r="148" spans="2:14" x14ac:dyDescent="0.25">
      <c r="B148" s="367"/>
      <c r="C148" s="48" t="s">
        <v>89</v>
      </c>
      <c r="D148" s="49" t="s">
        <v>102</v>
      </c>
      <c r="E148" s="49">
        <v>1</v>
      </c>
      <c r="F148" s="49">
        <v>2</v>
      </c>
      <c r="G148" s="50">
        <v>25</v>
      </c>
      <c r="H148" s="51">
        <f t="shared" si="14"/>
        <v>50</v>
      </c>
      <c r="I148" s="52"/>
      <c r="J148" s="52"/>
      <c r="K148" s="313"/>
      <c r="L148" s="53"/>
      <c r="M148" s="54"/>
      <c r="N148" s="50"/>
    </row>
    <row r="149" spans="2:14" x14ac:dyDescent="0.25">
      <c r="B149" s="367"/>
      <c r="C149" s="48" t="s">
        <v>90</v>
      </c>
      <c r="D149" s="49" t="s">
        <v>88</v>
      </c>
      <c r="E149" s="49">
        <v>1</v>
      </c>
      <c r="F149" s="49">
        <v>2</v>
      </c>
      <c r="G149" s="50">
        <v>4</v>
      </c>
      <c r="H149" s="51">
        <f t="shared" si="14"/>
        <v>8</v>
      </c>
      <c r="I149" s="52"/>
      <c r="J149" s="52"/>
      <c r="K149" s="313"/>
      <c r="L149" s="53"/>
      <c r="M149" s="54"/>
      <c r="N149" s="50"/>
    </row>
    <row r="150" spans="2:14" x14ac:dyDescent="0.25">
      <c r="B150" s="367"/>
      <c r="C150" s="48"/>
      <c r="D150" s="49"/>
      <c r="E150" s="49"/>
      <c r="F150" s="49"/>
      <c r="G150" s="50"/>
      <c r="H150" s="51">
        <f t="shared" si="14"/>
        <v>0</v>
      </c>
      <c r="I150" s="52"/>
      <c r="J150" s="52"/>
      <c r="K150" s="313"/>
      <c r="L150" s="53"/>
      <c r="M150" s="54"/>
      <c r="N150" s="50"/>
    </row>
    <row r="151" spans="2:14" x14ac:dyDescent="0.25">
      <c r="B151" s="367"/>
      <c r="C151" s="48" t="s">
        <v>85</v>
      </c>
      <c r="D151" s="49" t="s">
        <v>88</v>
      </c>
      <c r="E151" s="49">
        <f>ROUNDUP((SUM(M146:M156)/300),0)</f>
        <v>1</v>
      </c>
      <c r="F151" s="49">
        <v>1</v>
      </c>
      <c r="G151" s="50">
        <f>200*M146/6</f>
        <v>70</v>
      </c>
      <c r="H151" s="51">
        <f t="shared" si="14"/>
        <v>70</v>
      </c>
      <c r="I151" s="52"/>
      <c r="J151" s="52"/>
      <c r="K151" s="313"/>
      <c r="L151" s="53"/>
      <c r="M151" s="54"/>
      <c r="N151" s="50"/>
    </row>
    <row r="152" spans="2:14" x14ac:dyDescent="0.25">
      <c r="B152" s="367"/>
      <c r="C152" s="48" t="s">
        <v>91</v>
      </c>
      <c r="D152" s="49" t="s">
        <v>92</v>
      </c>
      <c r="E152" s="49">
        <v>4</v>
      </c>
      <c r="F152" s="49">
        <v>1</v>
      </c>
      <c r="G152" s="50">
        <v>12</v>
      </c>
      <c r="H152" s="51">
        <f t="shared" si="14"/>
        <v>48</v>
      </c>
      <c r="I152" s="52"/>
      <c r="J152" s="52"/>
      <c r="K152" s="313"/>
      <c r="L152" s="53"/>
      <c r="M152" s="54"/>
      <c r="N152" s="50"/>
    </row>
    <row r="153" spans="2:14" x14ac:dyDescent="0.25">
      <c r="B153" s="367"/>
      <c r="C153" s="48" t="s">
        <v>29</v>
      </c>
      <c r="D153" s="49" t="s">
        <v>88</v>
      </c>
      <c r="E153" s="49">
        <v>2</v>
      </c>
      <c r="F153" s="49">
        <v>1</v>
      </c>
      <c r="G153" s="50">
        <v>20</v>
      </c>
      <c r="H153" s="51">
        <f t="shared" si="14"/>
        <v>40</v>
      </c>
      <c r="I153" s="52"/>
      <c r="J153" s="52"/>
      <c r="K153" s="313"/>
      <c r="L153" s="53"/>
      <c r="M153" s="54"/>
      <c r="N153" s="50"/>
    </row>
    <row r="154" spans="2:14" x14ac:dyDescent="0.25">
      <c r="B154" s="367"/>
      <c r="C154" s="48" t="s">
        <v>22</v>
      </c>
      <c r="D154" s="49" t="s">
        <v>94</v>
      </c>
      <c r="E154" s="49">
        <v>1</v>
      </c>
      <c r="F154" s="49">
        <v>1</v>
      </c>
      <c r="G154" s="50">
        <v>10</v>
      </c>
      <c r="H154" s="51">
        <f t="shared" si="14"/>
        <v>10</v>
      </c>
      <c r="I154" s="52"/>
      <c r="J154" s="52"/>
      <c r="K154" s="313"/>
      <c r="L154" s="53"/>
      <c r="M154" s="54"/>
      <c r="N154" s="50"/>
    </row>
    <row r="155" spans="2:14" x14ac:dyDescent="0.25">
      <c r="B155" s="367"/>
      <c r="C155" s="315" t="s">
        <v>25</v>
      </c>
      <c r="D155" s="315"/>
      <c r="E155" s="315"/>
      <c r="F155" s="315"/>
      <c r="G155" s="315"/>
      <c r="H155" s="55">
        <f>SUM(H146:H154)</f>
        <v>690</v>
      </c>
      <c r="I155" s="52"/>
      <c r="J155" s="52"/>
      <c r="K155" s="313"/>
      <c r="L155" s="53"/>
      <c r="M155" s="54"/>
      <c r="N155" s="50"/>
    </row>
    <row r="156" spans="2:14" x14ac:dyDescent="0.25">
      <c r="B156" s="367"/>
      <c r="C156" s="368" t="s">
        <v>24</v>
      </c>
      <c r="D156" s="369"/>
      <c r="E156" s="368" t="s">
        <v>97</v>
      </c>
      <c r="F156" s="369"/>
      <c r="G156" s="56">
        <v>50</v>
      </c>
      <c r="H156" s="55">
        <f>ROUNDUP((H155/G156),0)</f>
        <v>14</v>
      </c>
      <c r="I156" s="52"/>
      <c r="J156" s="52"/>
      <c r="K156" s="314"/>
      <c r="L156" s="57"/>
      <c r="M156" s="58"/>
      <c r="N156" s="50"/>
    </row>
    <row r="158" spans="2:14" x14ac:dyDescent="0.25">
      <c r="B158" s="327" t="s">
        <v>0</v>
      </c>
      <c r="C158" s="327" t="s">
        <v>19</v>
      </c>
      <c r="D158" s="327" t="s">
        <v>14</v>
      </c>
      <c r="E158" s="329" t="s">
        <v>1</v>
      </c>
      <c r="F158" s="330"/>
      <c r="G158" s="319" t="s">
        <v>20</v>
      </c>
      <c r="H158" s="319" t="s">
        <v>21</v>
      </c>
      <c r="I158" s="321" t="s">
        <v>96</v>
      </c>
      <c r="J158" s="322"/>
      <c r="K158" s="323" t="s">
        <v>84</v>
      </c>
      <c r="L158" s="325" t="s">
        <v>85</v>
      </c>
      <c r="M158" s="326"/>
      <c r="N158" s="46" t="s">
        <v>28</v>
      </c>
    </row>
    <row r="159" spans="2:14" x14ac:dyDescent="0.25">
      <c r="B159" s="328"/>
      <c r="C159" s="328"/>
      <c r="D159" s="328"/>
      <c r="E159" s="59" t="s">
        <v>104</v>
      </c>
      <c r="F159" s="45" t="s">
        <v>103</v>
      </c>
      <c r="G159" s="320"/>
      <c r="H159" s="320"/>
      <c r="I159" s="91" t="s">
        <v>100</v>
      </c>
      <c r="J159" s="92" t="s">
        <v>99</v>
      </c>
      <c r="K159" s="324"/>
      <c r="L159" s="47" t="s">
        <v>101</v>
      </c>
      <c r="M159" s="61" t="s">
        <v>86</v>
      </c>
      <c r="N159" s="46"/>
    </row>
    <row r="160" spans="2:14" x14ac:dyDescent="0.25">
      <c r="B160" s="367" t="s">
        <v>127</v>
      </c>
      <c r="C160" s="48" t="s">
        <v>26</v>
      </c>
      <c r="D160" s="49" t="s">
        <v>92</v>
      </c>
      <c r="E160" s="49">
        <v>16</v>
      </c>
      <c r="F160" s="49">
        <v>1</v>
      </c>
      <c r="G160" s="50">
        <v>17</v>
      </c>
      <c r="H160" s="51">
        <f>G160*E160*F160</f>
        <v>272</v>
      </c>
      <c r="I160" s="52"/>
      <c r="J160" s="52"/>
      <c r="K160" s="312">
        <f>((E160+E161)/2)/8</f>
        <v>2</v>
      </c>
      <c r="L160" s="53"/>
      <c r="M160" s="54">
        <f>10*5*0.03*1.05</f>
        <v>1.5750000000000002</v>
      </c>
      <c r="N160" s="50"/>
    </row>
    <row r="161" spans="2:14" x14ac:dyDescent="0.25">
      <c r="B161" s="367"/>
      <c r="C161" s="48" t="s">
        <v>27</v>
      </c>
      <c r="D161" s="49" t="s">
        <v>92</v>
      </c>
      <c r="E161" s="49">
        <v>16</v>
      </c>
      <c r="F161" s="49">
        <v>1</v>
      </c>
      <c r="G161" s="50">
        <v>12</v>
      </c>
      <c r="H161" s="51">
        <f t="shared" ref="H161:H163" si="15">G161*E161*F161</f>
        <v>192</v>
      </c>
      <c r="I161" s="52"/>
      <c r="J161" s="52"/>
      <c r="K161" s="313"/>
      <c r="L161" s="44"/>
      <c r="M161" s="60"/>
      <c r="N161" s="50"/>
    </row>
    <row r="162" spans="2:14" x14ac:dyDescent="0.25">
      <c r="B162" s="367"/>
      <c r="C162" s="48" t="s">
        <v>89</v>
      </c>
      <c r="D162" s="49" t="s">
        <v>102</v>
      </c>
      <c r="E162" s="49">
        <v>1</v>
      </c>
      <c r="F162" s="49">
        <v>2</v>
      </c>
      <c r="G162" s="50">
        <v>25</v>
      </c>
      <c r="H162" s="51">
        <f t="shared" si="15"/>
        <v>50</v>
      </c>
      <c r="I162" s="52"/>
      <c r="J162" s="52"/>
      <c r="K162" s="313"/>
      <c r="L162" s="53"/>
      <c r="M162" s="54"/>
      <c r="N162" s="50"/>
    </row>
    <row r="163" spans="2:14" x14ac:dyDescent="0.25">
      <c r="B163" s="367"/>
      <c r="C163" s="48" t="s">
        <v>90</v>
      </c>
      <c r="D163" s="49" t="s">
        <v>88</v>
      </c>
      <c r="E163" s="49">
        <v>1</v>
      </c>
      <c r="F163" s="49">
        <v>2</v>
      </c>
      <c r="G163" s="50">
        <v>4</v>
      </c>
      <c r="H163" s="51">
        <f t="shared" si="15"/>
        <v>8</v>
      </c>
      <c r="I163" s="52"/>
      <c r="J163" s="52"/>
      <c r="K163" s="313"/>
      <c r="L163" s="53"/>
      <c r="M163" s="54"/>
      <c r="N163" s="50"/>
    </row>
    <row r="164" spans="2:14" x14ac:dyDescent="0.25">
      <c r="B164" s="367"/>
      <c r="C164" s="48"/>
      <c r="D164" s="49"/>
      <c r="E164" s="49"/>
      <c r="F164" s="49"/>
      <c r="G164" s="50"/>
      <c r="H164" s="51">
        <f t="shared" ref="H164:H168" si="16">G164*E164*F164</f>
        <v>0</v>
      </c>
      <c r="I164" s="52"/>
      <c r="J164" s="52"/>
      <c r="K164" s="313"/>
      <c r="L164" s="53"/>
      <c r="M164" s="54"/>
      <c r="N164" s="50"/>
    </row>
    <row r="165" spans="2:14" x14ac:dyDescent="0.25">
      <c r="B165" s="367"/>
      <c r="C165" s="48" t="s">
        <v>85</v>
      </c>
      <c r="D165" s="49" t="s">
        <v>88</v>
      </c>
      <c r="E165" s="49">
        <f>ROUNDUP((SUM(M160:M170)/300),0)</f>
        <v>1</v>
      </c>
      <c r="F165" s="49">
        <v>1</v>
      </c>
      <c r="G165" s="50">
        <f>200*M160/6</f>
        <v>52.500000000000007</v>
      </c>
      <c r="H165" s="51">
        <f t="shared" si="16"/>
        <v>52.500000000000007</v>
      </c>
      <c r="I165" s="52"/>
      <c r="J165" s="52"/>
      <c r="K165" s="313"/>
      <c r="L165" s="53"/>
      <c r="M165" s="54"/>
      <c r="N165" s="50"/>
    </row>
    <row r="166" spans="2:14" x14ac:dyDescent="0.25">
      <c r="B166" s="367"/>
      <c r="C166" s="48" t="s">
        <v>91</v>
      </c>
      <c r="D166" s="49" t="s">
        <v>92</v>
      </c>
      <c r="E166" s="49">
        <v>8</v>
      </c>
      <c r="F166" s="49">
        <v>1</v>
      </c>
      <c r="G166" s="50">
        <v>12</v>
      </c>
      <c r="H166" s="51">
        <f t="shared" si="16"/>
        <v>96</v>
      </c>
      <c r="I166" s="52"/>
      <c r="J166" s="52"/>
      <c r="K166" s="313"/>
      <c r="L166" s="53"/>
      <c r="M166" s="54"/>
      <c r="N166" s="50"/>
    </row>
    <row r="167" spans="2:14" x14ac:dyDescent="0.25">
      <c r="B167" s="367"/>
      <c r="C167" s="48" t="s">
        <v>29</v>
      </c>
      <c r="D167" s="49" t="s">
        <v>88</v>
      </c>
      <c r="E167" s="49">
        <v>1</v>
      </c>
      <c r="F167" s="49">
        <v>2</v>
      </c>
      <c r="G167" s="50">
        <v>20</v>
      </c>
      <c r="H167" s="51">
        <f t="shared" si="16"/>
        <v>40</v>
      </c>
      <c r="I167" s="52"/>
      <c r="J167" s="52"/>
      <c r="K167" s="313"/>
      <c r="L167" s="53"/>
      <c r="M167" s="54"/>
      <c r="N167" s="50"/>
    </row>
    <row r="168" spans="2:14" x14ac:dyDescent="0.25">
      <c r="B168" s="367"/>
      <c r="C168" s="48" t="s">
        <v>22</v>
      </c>
      <c r="D168" s="49" t="s">
        <v>94</v>
      </c>
      <c r="E168" s="49">
        <v>1</v>
      </c>
      <c r="F168" s="49">
        <v>1</v>
      </c>
      <c r="G168" s="50">
        <v>10</v>
      </c>
      <c r="H168" s="51">
        <f t="shared" si="16"/>
        <v>10</v>
      </c>
      <c r="I168" s="52"/>
      <c r="J168" s="52"/>
      <c r="K168" s="313"/>
      <c r="L168" s="53"/>
      <c r="M168" s="54"/>
      <c r="N168" s="50"/>
    </row>
    <row r="169" spans="2:14" x14ac:dyDescent="0.25">
      <c r="B169" s="367"/>
      <c r="C169" s="315" t="s">
        <v>25</v>
      </c>
      <c r="D169" s="315"/>
      <c r="E169" s="315"/>
      <c r="F169" s="315"/>
      <c r="G169" s="315"/>
      <c r="H169" s="55">
        <f>SUM(H160:H168)</f>
        <v>720.5</v>
      </c>
      <c r="I169" s="52"/>
      <c r="J169" s="52"/>
      <c r="K169" s="313"/>
      <c r="L169" s="53"/>
      <c r="M169" s="54"/>
      <c r="N169" s="50"/>
    </row>
    <row r="170" spans="2:14" x14ac:dyDescent="0.25">
      <c r="B170" s="367"/>
      <c r="C170" s="368" t="s">
        <v>24</v>
      </c>
      <c r="D170" s="369"/>
      <c r="E170" s="368" t="s">
        <v>97</v>
      </c>
      <c r="F170" s="369"/>
      <c r="G170" s="56">
        <v>50</v>
      </c>
      <c r="H170" s="55">
        <f>ROUNDUP((H169/G170),0)</f>
        <v>15</v>
      </c>
      <c r="I170" s="52"/>
      <c r="J170" s="52"/>
      <c r="K170" s="314"/>
      <c r="L170" s="57"/>
      <c r="M170" s="58"/>
      <c r="N170" s="50"/>
    </row>
    <row r="171" spans="2:14" x14ac:dyDescent="0.25">
      <c r="B171" s="64"/>
      <c r="C171" s="68"/>
      <c r="D171" s="68"/>
      <c r="E171" s="68"/>
      <c r="F171" s="68"/>
      <c r="G171" s="69"/>
      <c r="H171" s="70"/>
      <c r="I171" s="65"/>
      <c r="J171" s="65"/>
      <c r="K171" s="65"/>
      <c r="L171" s="65"/>
      <c r="M171" s="66"/>
      <c r="N171" s="67"/>
    </row>
    <row r="172" spans="2:14" x14ac:dyDescent="0.25">
      <c r="B172" s="327" t="s">
        <v>0</v>
      </c>
      <c r="C172" s="327" t="s">
        <v>19</v>
      </c>
      <c r="D172" s="327" t="s">
        <v>14</v>
      </c>
      <c r="E172" s="329" t="s">
        <v>1</v>
      </c>
      <c r="F172" s="330"/>
      <c r="G172" s="319" t="s">
        <v>20</v>
      </c>
      <c r="H172" s="319" t="s">
        <v>21</v>
      </c>
      <c r="I172" s="321" t="s">
        <v>96</v>
      </c>
      <c r="J172" s="322"/>
      <c r="K172" s="323" t="s">
        <v>84</v>
      </c>
      <c r="L172" s="325" t="s">
        <v>85</v>
      </c>
      <c r="M172" s="326"/>
      <c r="N172" s="46" t="s">
        <v>28</v>
      </c>
    </row>
    <row r="173" spans="2:14" x14ac:dyDescent="0.25">
      <c r="B173" s="328"/>
      <c r="C173" s="328"/>
      <c r="D173" s="328"/>
      <c r="E173" s="59" t="s">
        <v>104</v>
      </c>
      <c r="F173" s="45" t="s">
        <v>103</v>
      </c>
      <c r="G173" s="320"/>
      <c r="H173" s="320"/>
      <c r="I173" s="91" t="s">
        <v>100</v>
      </c>
      <c r="J173" s="92" t="s">
        <v>99</v>
      </c>
      <c r="K173" s="324"/>
      <c r="L173" s="47" t="s">
        <v>101</v>
      </c>
      <c r="M173" s="61" t="s">
        <v>86</v>
      </c>
      <c r="N173" s="46"/>
    </row>
    <row r="174" spans="2:14" x14ac:dyDescent="0.25">
      <c r="B174" s="367" t="s">
        <v>140</v>
      </c>
      <c r="C174" s="48" t="s">
        <v>26</v>
      </c>
      <c r="D174" s="49" t="s">
        <v>92</v>
      </c>
      <c r="E174" s="49">
        <v>2</v>
      </c>
      <c r="F174" s="49">
        <v>0</v>
      </c>
      <c r="G174" s="50">
        <v>17</v>
      </c>
      <c r="H174" s="51">
        <f>G174*E174*F174</f>
        <v>0</v>
      </c>
      <c r="I174" s="52"/>
      <c r="J174" s="52"/>
      <c r="K174" s="312">
        <f>((E174+E175)/2)/8</f>
        <v>0.25</v>
      </c>
      <c r="L174" s="53"/>
      <c r="M174" s="54">
        <f>G184*0.02*1.2</f>
        <v>0.24</v>
      </c>
      <c r="N174" s="50"/>
    </row>
    <row r="175" spans="2:14" x14ac:dyDescent="0.25">
      <c r="B175" s="367"/>
      <c r="C175" s="48" t="s">
        <v>27</v>
      </c>
      <c r="D175" s="49" t="s">
        <v>92</v>
      </c>
      <c r="E175" s="49">
        <v>2</v>
      </c>
      <c r="F175" s="49">
        <v>1</v>
      </c>
      <c r="G175" s="50">
        <v>12</v>
      </c>
      <c r="H175" s="51">
        <f t="shared" ref="H175:H182" si="17">G175*E175*F175</f>
        <v>24</v>
      </c>
      <c r="I175" s="52"/>
      <c r="J175" s="52"/>
      <c r="K175" s="313"/>
      <c r="L175" s="44"/>
      <c r="M175" s="60"/>
      <c r="N175" s="50"/>
    </row>
    <row r="176" spans="2:14" x14ac:dyDescent="0.25">
      <c r="B176" s="367"/>
      <c r="C176" s="48"/>
      <c r="D176" s="49"/>
      <c r="E176" s="49"/>
      <c r="F176" s="49"/>
      <c r="G176" s="50"/>
      <c r="H176" s="51">
        <f t="shared" si="17"/>
        <v>0</v>
      </c>
      <c r="I176" s="52"/>
      <c r="J176" s="52"/>
      <c r="K176" s="313"/>
      <c r="L176" s="53"/>
      <c r="M176" s="54"/>
      <c r="N176" s="50"/>
    </row>
    <row r="177" spans="2:14" x14ac:dyDescent="0.25">
      <c r="B177" s="367"/>
      <c r="C177" s="48"/>
      <c r="D177" s="49"/>
      <c r="E177" s="49"/>
      <c r="F177" s="49"/>
      <c r="G177" s="50"/>
      <c r="H177" s="51">
        <f t="shared" si="17"/>
        <v>0</v>
      </c>
      <c r="I177" s="52"/>
      <c r="J177" s="52"/>
      <c r="K177" s="313"/>
      <c r="L177" s="53"/>
      <c r="M177" s="54"/>
      <c r="N177" s="50"/>
    </row>
    <row r="178" spans="2:14" x14ac:dyDescent="0.25">
      <c r="B178" s="367"/>
      <c r="C178" s="48"/>
      <c r="D178" s="49"/>
      <c r="E178" s="49"/>
      <c r="F178" s="49"/>
      <c r="G178" s="50"/>
      <c r="H178" s="51">
        <f t="shared" si="17"/>
        <v>0</v>
      </c>
      <c r="I178" s="52"/>
      <c r="J178" s="52"/>
      <c r="K178" s="313"/>
      <c r="L178" s="53"/>
      <c r="M178" s="54"/>
      <c r="N178" s="50"/>
    </row>
    <row r="179" spans="2:14" x14ac:dyDescent="0.25">
      <c r="B179" s="367"/>
      <c r="C179" s="48" t="s">
        <v>85</v>
      </c>
      <c r="D179" s="49" t="s">
        <v>88</v>
      </c>
      <c r="E179" s="49">
        <f>ROUNDUP((SUM(M174:M184)/300),0)</f>
        <v>1</v>
      </c>
      <c r="F179" s="49">
        <v>1</v>
      </c>
      <c r="G179" s="50">
        <f>200*M174/6</f>
        <v>8</v>
      </c>
      <c r="H179" s="51">
        <f t="shared" si="17"/>
        <v>8</v>
      </c>
      <c r="I179" s="52"/>
      <c r="J179" s="52"/>
      <c r="K179" s="313"/>
      <c r="L179" s="53"/>
      <c r="M179" s="54"/>
      <c r="N179" s="50"/>
    </row>
    <row r="180" spans="2:14" x14ac:dyDescent="0.25">
      <c r="B180" s="367"/>
      <c r="C180" s="48" t="s">
        <v>91</v>
      </c>
      <c r="D180" s="49" t="s">
        <v>92</v>
      </c>
      <c r="E180" s="49">
        <v>1</v>
      </c>
      <c r="F180" s="49">
        <v>0.5</v>
      </c>
      <c r="G180" s="50">
        <v>12</v>
      </c>
      <c r="H180" s="51">
        <f t="shared" si="17"/>
        <v>6</v>
      </c>
      <c r="I180" s="52"/>
      <c r="J180" s="52"/>
      <c r="K180" s="313"/>
      <c r="L180" s="53"/>
      <c r="M180" s="54"/>
      <c r="N180" s="50"/>
    </row>
    <row r="181" spans="2:14" x14ac:dyDescent="0.25">
      <c r="B181" s="367"/>
      <c r="C181" s="48" t="s">
        <v>29</v>
      </c>
      <c r="D181" s="49" t="s">
        <v>88</v>
      </c>
      <c r="E181" s="49">
        <v>1</v>
      </c>
      <c r="F181" s="49">
        <v>1</v>
      </c>
      <c r="G181" s="50">
        <v>20</v>
      </c>
      <c r="H181" s="51">
        <f t="shared" si="17"/>
        <v>20</v>
      </c>
      <c r="I181" s="52"/>
      <c r="J181" s="52"/>
      <c r="K181" s="313"/>
      <c r="L181" s="53"/>
      <c r="M181" s="54"/>
      <c r="N181" s="50"/>
    </row>
    <row r="182" spans="2:14" x14ac:dyDescent="0.25">
      <c r="B182" s="367"/>
      <c r="C182" s="48" t="s">
        <v>22</v>
      </c>
      <c r="D182" s="49" t="s">
        <v>94</v>
      </c>
      <c r="E182" s="49">
        <v>1</v>
      </c>
      <c r="F182" s="49">
        <v>0</v>
      </c>
      <c r="G182" s="50">
        <v>10</v>
      </c>
      <c r="H182" s="51">
        <f t="shared" si="17"/>
        <v>0</v>
      </c>
      <c r="I182" s="52"/>
      <c r="J182" s="52"/>
      <c r="K182" s="313"/>
      <c r="L182" s="53"/>
      <c r="M182" s="54"/>
      <c r="N182" s="50"/>
    </row>
    <row r="183" spans="2:14" x14ac:dyDescent="0.25">
      <c r="B183" s="367"/>
      <c r="C183" s="315" t="s">
        <v>25</v>
      </c>
      <c r="D183" s="315"/>
      <c r="E183" s="315"/>
      <c r="F183" s="315"/>
      <c r="G183" s="315"/>
      <c r="H183" s="55">
        <f>SUM(H174:H182)</f>
        <v>58</v>
      </c>
      <c r="I183" s="52"/>
      <c r="J183" s="52"/>
      <c r="K183" s="313"/>
      <c r="L183" s="53"/>
      <c r="M183" s="54"/>
      <c r="N183" s="50"/>
    </row>
    <row r="184" spans="2:14" x14ac:dyDescent="0.25">
      <c r="B184" s="367"/>
      <c r="C184" s="368" t="s">
        <v>183</v>
      </c>
      <c r="D184" s="369"/>
      <c r="E184" s="368" t="s">
        <v>185</v>
      </c>
      <c r="F184" s="369"/>
      <c r="G184" s="56">
        <v>10</v>
      </c>
      <c r="H184" s="55">
        <f>ROUNDUP((H183/G184),0)</f>
        <v>6</v>
      </c>
      <c r="I184" s="52"/>
      <c r="J184" s="52"/>
      <c r="K184" s="314"/>
      <c r="L184" s="57"/>
      <c r="M184" s="58"/>
      <c r="N184" s="50"/>
    </row>
    <row r="185" spans="2:14" x14ac:dyDescent="0.25">
      <c r="B185" s="64"/>
      <c r="C185" s="68"/>
      <c r="D185" s="68"/>
      <c r="E185" s="68"/>
      <c r="F185" s="68"/>
      <c r="G185" s="69"/>
      <c r="H185" s="70"/>
      <c r="I185" s="65"/>
      <c r="J185" s="65"/>
      <c r="K185" s="65"/>
      <c r="L185" s="65"/>
      <c r="M185" s="66"/>
      <c r="N185" s="67"/>
    </row>
    <row r="186" spans="2:14" x14ac:dyDescent="0.25">
      <c r="B186" s="327" t="s">
        <v>0</v>
      </c>
      <c r="C186" s="327" t="s">
        <v>19</v>
      </c>
      <c r="D186" s="327" t="s">
        <v>14</v>
      </c>
      <c r="E186" s="329" t="s">
        <v>1</v>
      </c>
      <c r="F186" s="330"/>
      <c r="G186" s="319" t="s">
        <v>20</v>
      </c>
      <c r="H186" s="319" t="s">
        <v>21</v>
      </c>
      <c r="I186" s="321" t="s">
        <v>96</v>
      </c>
      <c r="J186" s="322"/>
      <c r="K186" s="323" t="s">
        <v>84</v>
      </c>
      <c r="L186" s="325" t="s">
        <v>85</v>
      </c>
      <c r="M186" s="326"/>
      <c r="N186" s="46" t="s">
        <v>28</v>
      </c>
    </row>
    <row r="187" spans="2:14" x14ac:dyDescent="0.25">
      <c r="B187" s="328"/>
      <c r="C187" s="328"/>
      <c r="D187" s="328"/>
      <c r="E187" s="59" t="s">
        <v>104</v>
      </c>
      <c r="F187" s="45" t="s">
        <v>103</v>
      </c>
      <c r="G187" s="320"/>
      <c r="H187" s="320"/>
      <c r="I187" s="91" t="s">
        <v>100</v>
      </c>
      <c r="J187" s="92" t="s">
        <v>99</v>
      </c>
      <c r="K187" s="324"/>
      <c r="L187" s="47" t="s">
        <v>101</v>
      </c>
      <c r="M187" s="61" t="s">
        <v>86</v>
      </c>
      <c r="N187" s="46"/>
    </row>
    <row r="188" spans="2:14" ht="15" customHeight="1" x14ac:dyDescent="0.25">
      <c r="B188" s="367" t="s">
        <v>133</v>
      </c>
      <c r="C188" s="48" t="s">
        <v>26</v>
      </c>
      <c r="D188" s="49" t="s">
        <v>92</v>
      </c>
      <c r="E188" s="49">
        <v>8</v>
      </c>
      <c r="F188" s="49">
        <v>1</v>
      </c>
      <c r="G188" s="50">
        <v>17</v>
      </c>
      <c r="H188" s="51">
        <f>G188*E188*F188</f>
        <v>136</v>
      </c>
      <c r="I188" s="52"/>
      <c r="J188" s="52"/>
      <c r="K188" s="312">
        <f>((E188+E189)/2)/8</f>
        <v>1</v>
      </c>
      <c r="L188" s="53"/>
      <c r="M188" s="54">
        <f>50*0.1*0.03*1.1</f>
        <v>0.16500000000000001</v>
      </c>
      <c r="N188" s="50"/>
    </row>
    <row r="189" spans="2:14" x14ac:dyDescent="0.25">
      <c r="B189" s="367"/>
      <c r="C189" s="48" t="s">
        <v>27</v>
      </c>
      <c r="D189" s="49" t="s">
        <v>92</v>
      </c>
      <c r="E189" s="49">
        <v>8</v>
      </c>
      <c r="F189" s="49">
        <v>0</v>
      </c>
      <c r="G189" s="50">
        <v>12</v>
      </c>
      <c r="H189" s="51">
        <f t="shared" ref="H189:H196" si="18">G189*E189*F189</f>
        <v>0</v>
      </c>
      <c r="I189" s="52"/>
      <c r="J189" s="52"/>
      <c r="K189" s="313"/>
      <c r="L189" s="44"/>
      <c r="M189" s="60"/>
      <c r="N189" s="50"/>
    </row>
    <row r="190" spans="2:14" x14ac:dyDescent="0.25">
      <c r="B190" s="367"/>
      <c r="C190" s="48"/>
      <c r="D190" s="49"/>
      <c r="E190" s="49"/>
      <c r="F190" s="49"/>
      <c r="G190" s="50"/>
      <c r="H190" s="51">
        <f t="shared" si="18"/>
        <v>0</v>
      </c>
      <c r="I190" s="52"/>
      <c r="J190" s="52"/>
      <c r="K190" s="313"/>
      <c r="L190" s="53"/>
      <c r="M190" s="54"/>
      <c r="N190" s="50"/>
    </row>
    <row r="191" spans="2:14" x14ac:dyDescent="0.25">
      <c r="B191" s="367"/>
      <c r="C191" s="48"/>
      <c r="D191" s="49"/>
      <c r="E191" s="49"/>
      <c r="F191" s="49"/>
      <c r="G191" s="50"/>
      <c r="H191" s="51">
        <f t="shared" si="18"/>
        <v>0</v>
      </c>
      <c r="I191" s="52"/>
      <c r="J191" s="52"/>
      <c r="K191" s="313"/>
      <c r="L191" s="53"/>
      <c r="M191" s="54"/>
      <c r="N191" s="50"/>
    </row>
    <row r="192" spans="2:14" x14ac:dyDescent="0.25">
      <c r="B192" s="367"/>
      <c r="C192" s="48"/>
      <c r="D192" s="49"/>
      <c r="E192" s="49"/>
      <c r="F192" s="49"/>
      <c r="G192" s="50"/>
      <c r="H192" s="51">
        <f t="shared" si="18"/>
        <v>0</v>
      </c>
      <c r="I192" s="52"/>
      <c r="J192" s="52"/>
      <c r="K192" s="313"/>
      <c r="L192" s="53"/>
      <c r="M192" s="54"/>
      <c r="N192" s="50"/>
    </row>
    <row r="193" spans="2:14" x14ac:dyDescent="0.25">
      <c r="B193" s="367"/>
      <c r="C193" s="48" t="s">
        <v>85</v>
      </c>
      <c r="D193" s="49" t="s">
        <v>88</v>
      </c>
      <c r="E193" s="49">
        <f>ROUNDUP((SUM(M188:M198)/300),0)</f>
        <v>1</v>
      </c>
      <c r="F193" s="49">
        <v>1</v>
      </c>
      <c r="G193" s="50">
        <f>200*M188/6</f>
        <v>5.5</v>
      </c>
      <c r="H193" s="51">
        <f t="shared" si="18"/>
        <v>5.5</v>
      </c>
      <c r="I193" s="52"/>
      <c r="J193" s="52"/>
      <c r="K193" s="313"/>
      <c r="L193" s="53"/>
      <c r="M193" s="54"/>
      <c r="N193" s="50"/>
    </row>
    <row r="194" spans="2:14" x14ac:dyDescent="0.25">
      <c r="B194" s="367"/>
      <c r="C194" s="48" t="s">
        <v>91</v>
      </c>
      <c r="D194" s="49" t="s">
        <v>92</v>
      </c>
      <c r="E194" s="49">
        <v>2</v>
      </c>
      <c r="F194" s="49">
        <v>1</v>
      </c>
      <c r="G194" s="50">
        <v>12</v>
      </c>
      <c r="H194" s="51">
        <f t="shared" si="18"/>
        <v>24</v>
      </c>
      <c r="I194" s="52"/>
      <c r="J194" s="52"/>
      <c r="K194" s="313"/>
      <c r="L194" s="53"/>
      <c r="M194" s="54"/>
      <c r="N194" s="50"/>
    </row>
    <row r="195" spans="2:14" x14ac:dyDescent="0.25">
      <c r="B195" s="367"/>
      <c r="C195" s="48" t="s">
        <v>29</v>
      </c>
      <c r="D195" s="49" t="s">
        <v>88</v>
      </c>
      <c r="E195" s="49">
        <v>1</v>
      </c>
      <c r="F195" s="49">
        <v>1</v>
      </c>
      <c r="G195" s="50">
        <v>20</v>
      </c>
      <c r="H195" s="51">
        <f t="shared" si="18"/>
        <v>20</v>
      </c>
      <c r="I195" s="52"/>
      <c r="J195" s="52"/>
      <c r="K195" s="313"/>
      <c r="L195" s="53"/>
      <c r="M195" s="54"/>
      <c r="N195" s="50"/>
    </row>
    <row r="196" spans="2:14" x14ac:dyDescent="0.25">
      <c r="B196" s="367"/>
      <c r="C196" s="48" t="s">
        <v>22</v>
      </c>
      <c r="D196" s="49" t="s">
        <v>94</v>
      </c>
      <c r="E196" s="49">
        <v>1</v>
      </c>
      <c r="F196" s="49">
        <v>1</v>
      </c>
      <c r="G196" s="50">
        <v>10</v>
      </c>
      <c r="H196" s="51">
        <f t="shared" si="18"/>
        <v>10</v>
      </c>
      <c r="I196" s="52"/>
      <c r="J196" s="52"/>
      <c r="K196" s="313"/>
      <c r="L196" s="53"/>
      <c r="M196" s="54"/>
      <c r="N196" s="50"/>
    </row>
    <row r="197" spans="2:14" x14ac:dyDescent="0.25">
      <c r="B197" s="367"/>
      <c r="C197" s="315" t="s">
        <v>25</v>
      </c>
      <c r="D197" s="315"/>
      <c r="E197" s="315"/>
      <c r="F197" s="315"/>
      <c r="G197" s="315"/>
      <c r="H197" s="55">
        <f>SUM(H188:H196)</f>
        <v>195.5</v>
      </c>
      <c r="I197" s="52"/>
      <c r="J197" s="52"/>
      <c r="K197" s="313"/>
      <c r="L197" s="53"/>
      <c r="M197" s="54"/>
      <c r="N197" s="50"/>
    </row>
    <row r="198" spans="2:14" x14ac:dyDescent="0.25">
      <c r="B198" s="367"/>
      <c r="C198" s="368" t="s">
        <v>183</v>
      </c>
      <c r="D198" s="369"/>
      <c r="E198" s="368" t="s">
        <v>185</v>
      </c>
      <c r="F198" s="369"/>
      <c r="G198" s="56">
        <v>50</v>
      </c>
      <c r="H198" s="55">
        <f>ROUNDUP((H197/G198),0)</f>
        <v>4</v>
      </c>
      <c r="I198" s="52"/>
      <c r="J198" s="52"/>
      <c r="K198" s="314"/>
      <c r="L198" s="57"/>
      <c r="M198" s="58"/>
      <c r="N198" s="50"/>
    </row>
    <row r="199" spans="2:14" x14ac:dyDescent="0.25">
      <c r="B199" s="64"/>
      <c r="C199" s="68"/>
      <c r="D199" s="68"/>
      <c r="E199" s="68"/>
      <c r="F199" s="68"/>
      <c r="G199" s="69"/>
      <c r="H199" s="70"/>
      <c r="I199" s="65"/>
      <c r="J199" s="65"/>
      <c r="K199" s="65"/>
      <c r="L199" s="65"/>
      <c r="M199" s="66"/>
      <c r="N199" s="67"/>
    </row>
    <row r="200" spans="2:14" x14ac:dyDescent="0.25">
      <c r="B200" s="327" t="s">
        <v>0</v>
      </c>
      <c r="C200" s="327" t="s">
        <v>19</v>
      </c>
      <c r="D200" s="327" t="s">
        <v>14</v>
      </c>
      <c r="E200" s="329" t="s">
        <v>1</v>
      </c>
      <c r="F200" s="330"/>
      <c r="G200" s="319" t="s">
        <v>20</v>
      </c>
      <c r="H200" s="319" t="s">
        <v>21</v>
      </c>
      <c r="I200" s="321" t="s">
        <v>96</v>
      </c>
      <c r="J200" s="322"/>
      <c r="K200" s="323" t="s">
        <v>84</v>
      </c>
      <c r="L200" s="325" t="s">
        <v>85</v>
      </c>
      <c r="M200" s="326"/>
      <c r="N200" s="46" t="s">
        <v>28</v>
      </c>
    </row>
    <row r="201" spans="2:14" x14ac:dyDescent="0.25">
      <c r="B201" s="328"/>
      <c r="C201" s="328"/>
      <c r="D201" s="328"/>
      <c r="E201" s="59" t="s">
        <v>104</v>
      </c>
      <c r="F201" s="45" t="s">
        <v>103</v>
      </c>
      <c r="G201" s="320"/>
      <c r="H201" s="320"/>
      <c r="I201" s="91" t="s">
        <v>100</v>
      </c>
      <c r="J201" s="92" t="s">
        <v>99</v>
      </c>
      <c r="K201" s="324"/>
      <c r="L201" s="47" t="s">
        <v>101</v>
      </c>
      <c r="M201" s="61" t="s">
        <v>86</v>
      </c>
      <c r="N201" s="46"/>
    </row>
    <row r="202" spans="2:14" ht="15" customHeight="1" x14ac:dyDescent="0.25">
      <c r="B202" s="367" t="s">
        <v>134</v>
      </c>
      <c r="C202" s="48" t="s">
        <v>26</v>
      </c>
      <c r="D202" s="49" t="s">
        <v>92</v>
      </c>
      <c r="E202" s="49">
        <v>8</v>
      </c>
      <c r="F202" s="49">
        <v>1</v>
      </c>
      <c r="G202" s="50">
        <v>17</v>
      </c>
      <c r="H202" s="51">
        <f>G202*E202*F202</f>
        <v>136</v>
      </c>
      <c r="I202" s="52"/>
      <c r="J202" s="52"/>
      <c r="K202" s="312">
        <f>((E202+E203)/2)/8</f>
        <v>1</v>
      </c>
      <c r="L202" s="53"/>
      <c r="M202" s="54">
        <f>50*0.1*0.04*1.3</f>
        <v>0.26</v>
      </c>
      <c r="N202" s="50"/>
    </row>
    <row r="203" spans="2:14" x14ac:dyDescent="0.25">
      <c r="B203" s="367"/>
      <c r="C203" s="48" t="s">
        <v>27</v>
      </c>
      <c r="D203" s="49" t="s">
        <v>92</v>
      </c>
      <c r="E203" s="49">
        <v>8</v>
      </c>
      <c r="F203" s="49">
        <v>0</v>
      </c>
      <c r="G203" s="50">
        <v>12</v>
      </c>
      <c r="H203" s="51">
        <f t="shared" ref="H203:H210" si="19">G203*E203*F203</f>
        <v>0</v>
      </c>
      <c r="I203" s="52"/>
      <c r="J203" s="52"/>
      <c r="K203" s="313"/>
      <c r="L203" s="44"/>
      <c r="M203" s="60"/>
      <c r="N203" s="50"/>
    </row>
    <row r="204" spans="2:14" x14ac:dyDescent="0.25">
      <c r="B204" s="367"/>
      <c r="C204" s="48" t="s">
        <v>89</v>
      </c>
      <c r="D204" s="49" t="s">
        <v>102</v>
      </c>
      <c r="E204" s="49">
        <v>1</v>
      </c>
      <c r="F204" s="49">
        <v>1</v>
      </c>
      <c r="G204" s="50">
        <v>25</v>
      </c>
      <c r="H204" s="51">
        <f t="shared" si="19"/>
        <v>25</v>
      </c>
      <c r="I204" s="52"/>
      <c r="J204" s="52"/>
      <c r="K204" s="313"/>
      <c r="L204" s="53"/>
      <c r="M204" s="54"/>
      <c r="N204" s="50"/>
    </row>
    <row r="205" spans="2:14" x14ac:dyDescent="0.25">
      <c r="B205" s="367"/>
      <c r="C205" s="48" t="s">
        <v>90</v>
      </c>
      <c r="D205" s="49" t="s">
        <v>88</v>
      </c>
      <c r="E205" s="49">
        <v>1</v>
      </c>
      <c r="F205" s="49">
        <v>1</v>
      </c>
      <c r="G205" s="50">
        <v>4</v>
      </c>
      <c r="H205" s="51">
        <f t="shared" si="19"/>
        <v>4</v>
      </c>
      <c r="I205" s="52"/>
      <c r="J205" s="52"/>
      <c r="K205" s="313"/>
      <c r="L205" s="53"/>
      <c r="M205" s="54"/>
      <c r="N205" s="50"/>
    </row>
    <row r="206" spans="2:14" x14ac:dyDescent="0.25">
      <c r="B206" s="367"/>
      <c r="C206" s="48"/>
      <c r="D206" s="49"/>
      <c r="E206" s="49"/>
      <c r="F206" s="49"/>
      <c r="G206" s="50"/>
      <c r="H206" s="51">
        <f t="shared" si="19"/>
        <v>0</v>
      </c>
      <c r="I206" s="52"/>
      <c r="J206" s="52"/>
      <c r="K206" s="313"/>
      <c r="L206" s="53"/>
      <c r="M206" s="54"/>
      <c r="N206" s="50"/>
    </row>
    <row r="207" spans="2:14" x14ac:dyDescent="0.25">
      <c r="B207" s="367"/>
      <c r="C207" s="48" t="s">
        <v>85</v>
      </c>
      <c r="D207" s="49" t="s">
        <v>88</v>
      </c>
      <c r="E207" s="49">
        <f>ROUNDUP((SUM(M202:M212)/300),0)</f>
        <v>1</v>
      </c>
      <c r="F207" s="49">
        <v>1</v>
      </c>
      <c r="G207" s="50">
        <f>200*M202/6</f>
        <v>8.6666666666666661</v>
      </c>
      <c r="H207" s="51">
        <f t="shared" si="19"/>
        <v>8.6666666666666661</v>
      </c>
      <c r="I207" s="52"/>
      <c r="J207" s="52"/>
      <c r="K207" s="313"/>
      <c r="L207" s="53"/>
      <c r="M207" s="54"/>
      <c r="N207" s="50"/>
    </row>
    <row r="208" spans="2:14" x14ac:dyDescent="0.25">
      <c r="B208" s="367"/>
      <c r="C208" s="48" t="s">
        <v>91</v>
      </c>
      <c r="D208" s="49" t="s">
        <v>92</v>
      </c>
      <c r="E208" s="49">
        <v>1</v>
      </c>
      <c r="F208" s="49">
        <v>2</v>
      </c>
      <c r="G208" s="50">
        <v>12</v>
      </c>
      <c r="H208" s="51">
        <f t="shared" si="19"/>
        <v>24</v>
      </c>
      <c r="I208" s="52"/>
      <c r="J208" s="52"/>
      <c r="K208" s="313"/>
      <c r="L208" s="53"/>
      <c r="M208" s="54"/>
      <c r="N208" s="50"/>
    </row>
    <row r="209" spans="2:14" x14ac:dyDescent="0.25">
      <c r="B209" s="367"/>
      <c r="C209" s="48" t="s">
        <v>29</v>
      </c>
      <c r="D209" s="49" t="s">
        <v>88</v>
      </c>
      <c r="E209" s="49">
        <v>1</v>
      </c>
      <c r="F209" s="49">
        <v>1</v>
      </c>
      <c r="G209" s="50">
        <v>20</v>
      </c>
      <c r="H209" s="51">
        <f t="shared" si="19"/>
        <v>20</v>
      </c>
      <c r="I209" s="52"/>
      <c r="J209" s="52"/>
      <c r="K209" s="313"/>
      <c r="L209" s="53"/>
      <c r="M209" s="54"/>
      <c r="N209" s="50"/>
    </row>
    <row r="210" spans="2:14" x14ac:dyDescent="0.25">
      <c r="B210" s="367"/>
      <c r="C210" s="48" t="s">
        <v>22</v>
      </c>
      <c r="D210" s="49" t="s">
        <v>94</v>
      </c>
      <c r="E210" s="49">
        <v>1</v>
      </c>
      <c r="F210" s="49">
        <v>1</v>
      </c>
      <c r="G210" s="50">
        <v>10</v>
      </c>
      <c r="H210" s="51">
        <f t="shared" si="19"/>
        <v>10</v>
      </c>
      <c r="I210" s="52"/>
      <c r="J210" s="52"/>
      <c r="K210" s="313"/>
      <c r="L210" s="53"/>
      <c r="M210" s="54"/>
      <c r="N210" s="50"/>
    </row>
    <row r="211" spans="2:14" x14ac:dyDescent="0.25">
      <c r="B211" s="367"/>
      <c r="C211" s="315" t="s">
        <v>25</v>
      </c>
      <c r="D211" s="315"/>
      <c r="E211" s="315"/>
      <c r="F211" s="315"/>
      <c r="G211" s="315"/>
      <c r="H211" s="55">
        <f>SUM(H202:H210)</f>
        <v>227.66666666666666</v>
      </c>
      <c r="I211" s="52"/>
      <c r="J211" s="52"/>
      <c r="K211" s="313"/>
      <c r="L211" s="53"/>
      <c r="M211" s="54"/>
      <c r="N211" s="50"/>
    </row>
    <row r="212" spans="2:14" x14ac:dyDescent="0.25">
      <c r="B212" s="367"/>
      <c r="C212" s="368" t="s">
        <v>183</v>
      </c>
      <c r="D212" s="369"/>
      <c r="E212" s="368" t="s">
        <v>185</v>
      </c>
      <c r="F212" s="369"/>
      <c r="G212" s="56">
        <v>50</v>
      </c>
      <c r="H212" s="55">
        <f>ROUNDUP((H211/G212),0)</f>
        <v>5</v>
      </c>
      <c r="I212" s="52"/>
      <c r="J212" s="52"/>
      <c r="K212" s="314"/>
      <c r="L212" s="57"/>
      <c r="M212" s="58"/>
      <c r="N212" s="50"/>
    </row>
    <row r="214" spans="2:14" x14ac:dyDescent="0.25">
      <c r="B214" s="327" t="s">
        <v>0</v>
      </c>
      <c r="C214" s="327" t="s">
        <v>19</v>
      </c>
      <c r="D214" s="327" t="s">
        <v>14</v>
      </c>
      <c r="E214" s="329" t="s">
        <v>1</v>
      </c>
      <c r="F214" s="330"/>
      <c r="G214" s="319" t="s">
        <v>20</v>
      </c>
      <c r="H214" s="319" t="s">
        <v>21</v>
      </c>
      <c r="I214" s="321" t="s">
        <v>96</v>
      </c>
      <c r="J214" s="322"/>
      <c r="K214" s="323" t="s">
        <v>84</v>
      </c>
      <c r="L214" s="325" t="s">
        <v>85</v>
      </c>
      <c r="M214" s="326"/>
      <c r="N214" s="46" t="s">
        <v>28</v>
      </c>
    </row>
    <row r="215" spans="2:14" x14ac:dyDescent="0.25">
      <c r="B215" s="328"/>
      <c r="C215" s="328"/>
      <c r="D215" s="328"/>
      <c r="E215" s="59" t="s">
        <v>104</v>
      </c>
      <c r="F215" s="45" t="s">
        <v>103</v>
      </c>
      <c r="G215" s="320"/>
      <c r="H215" s="320"/>
      <c r="I215" s="91" t="s">
        <v>100</v>
      </c>
      <c r="J215" s="92" t="s">
        <v>99</v>
      </c>
      <c r="K215" s="324"/>
      <c r="L215" s="47" t="s">
        <v>101</v>
      </c>
      <c r="M215" s="61" t="s">
        <v>86</v>
      </c>
      <c r="N215" s="46"/>
    </row>
    <row r="216" spans="2:14" x14ac:dyDescent="0.25">
      <c r="B216" s="367" t="s">
        <v>129</v>
      </c>
      <c r="C216" s="48" t="s">
        <v>26</v>
      </c>
      <c r="D216" s="49" t="s">
        <v>92</v>
      </c>
      <c r="E216" s="49">
        <v>16</v>
      </c>
      <c r="F216" s="49">
        <v>1</v>
      </c>
      <c r="G216" s="50">
        <v>17</v>
      </c>
      <c r="H216" s="51">
        <f>G216*E216*F216</f>
        <v>272</v>
      </c>
      <c r="I216" s="52"/>
      <c r="J216" s="52"/>
      <c r="K216" s="312">
        <f>((E216+E217)/2)/8</f>
        <v>2</v>
      </c>
      <c r="L216" s="53"/>
      <c r="M216" s="54">
        <f>10*5*0.06*1.3</f>
        <v>3.9000000000000004</v>
      </c>
      <c r="N216" s="50"/>
    </row>
    <row r="217" spans="2:14" x14ac:dyDescent="0.25">
      <c r="B217" s="367"/>
      <c r="C217" s="48" t="s">
        <v>27</v>
      </c>
      <c r="D217" s="49" t="s">
        <v>92</v>
      </c>
      <c r="E217" s="49">
        <v>16</v>
      </c>
      <c r="F217" s="49">
        <v>2</v>
      </c>
      <c r="G217" s="50">
        <v>12</v>
      </c>
      <c r="H217" s="51">
        <f t="shared" ref="H217:H219" si="20">G217*E217*F217</f>
        <v>384</v>
      </c>
      <c r="I217" s="52"/>
      <c r="J217" s="52"/>
      <c r="K217" s="313"/>
      <c r="L217" s="44"/>
      <c r="M217" s="60"/>
      <c r="N217" s="50"/>
    </row>
    <row r="218" spans="2:14" x14ac:dyDescent="0.25">
      <c r="B218" s="367"/>
      <c r="C218" s="48"/>
      <c r="D218" s="49"/>
      <c r="E218" s="49"/>
      <c r="F218" s="49"/>
      <c r="G218" s="50"/>
      <c r="H218" s="51">
        <f t="shared" si="20"/>
        <v>0</v>
      </c>
      <c r="I218" s="52"/>
      <c r="J218" s="52"/>
      <c r="K218" s="313"/>
      <c r="L218" s="53"/>
      <c r="M218" s="54"/>
      <c r="N218" s="50"/>
    </row>
    <row r="219" spans="2:14" x14ac:dyDescent="0.25">
      <c r="B219" s="367"/>
      <c r="C219" s="48"/>
      <c r="D219" s="49"/>
      <c r="E219" s="49"/>
      <c r="F219" s="49"/>
      <c r="G219" s="50"/>
      <c r="H219" s="51">
        <f t="shared" si="20"/>
        <v>0</v>
      </c>
      <c r="I219" s="52"/>
      <c r="J219" s="52"/>
      <c r="K219" s="313"/>
      <c r="L219" s="53"/>
      <c r="M219" s="54"/>
      <c r="N219" s="50"/>
    </row>
    <row r="220" spans="2:14" ht="30" x14ac:dyDescent="0.25">
      <c r="B220" s="367"/>
      <c r="C220" s="48" t="s">
        <v>124</v>
      </c>
      <c r="D220" s="49" t="s">
        <v>102</v>
      </c>
      <c r="E220" s="49">
        <v>2</v>
      </c>
      <c r="F220" s="49">
        <v>1</v>
      </c>
      <c r="G220" s="50">
        <f>1950/365</f>
        <v>5.3424657534246576</v>
      </c>
      <c r="H220" s="51">
        <f t="shared" ref="H220:H224" si="21">G220*E220*F220</f>
        <v>10.684931506849315</v>
      </c>
      <c r="I220" s="52"/>
      <c r="J220" s="52"/>
      <c r="K220" s="313"/>
      <c r="L220" s="53"/>
      <c r="M220" s="54"/>
      <c r="N220" s="50"/>
    </row>
    <row r="221" spans="2:14" x14ac:dyDescent="0.25">
      <c r="B221" s="367"/>
      <c r="C221" s="48" t="s">
        <v>85</v>
      </c>
      <c r="D221" s="49" t="s">
        <v>88</v>
      </c>
      <c r="E221" s="49">
        <f>ROUNDUP((SUM(M216:M226)/300),0)</f>
        <v>1</v>
      </c>
      <c r="F221" s="49">
        <v>1</v>
      </c>
      <c r="G221" s="50">
        <f>200*M216/6</f>
        <v>130.00000000000003</v>
      </c>
      <c r="H221" s="51">
        <f t="shared" si="21"/>
        <v>130.00000000000003</v>
      </c>
      <c r="I221" s="52"/>
      <c r="J221" s="52"/>
      <c r="K221" s="313"/>
      <c r="L221" s="53"/>
      <c r="M221" s="54"/>
      <c r="N221" s="50"/>
    </row>
    <row r="222" spans="2:14" x14ac:dyDescent="0.25">
      <c r="B222" s="367"/>
      <c r="C222" s="48" t="s">
        <v>91</v>
      </c>
      <c r="D222" s="49" t="s">
        <v>92</v>
      </c>
      <c r="E222" s="49">
        <v>4</v>
      </c>
      <c r="F222" s="49">
        <v>1</v>
      </c>
      <c r="G222" s="50">
        <v>12</v>
      </c>
      <c r="H222" s="51">
        <f t="shared" si="21"/>
        <v>48</v>
      </c>
      <c r="I222" s="52"/>
      <c r="J222" s="52"/>
      <c r="K222" s="313"/>
      <c r="L222" s="53"/>
      <c r="M222" s="54"/>
      <c r="N222" s="50"/>
    </row>
    <row r="223" spans="2:14" x14ac:dyDescent="0.25">
      <c r="B223" s="367"/>
      <c r="C223" s="48" t="s">
        <v>29</v>
      </c>
      <c r="D223" s="49" t="s">
        <v>88</v>
      </c>
      <c r="E223" s="49">
        <v>2</v>
      </c>
      <c r="F223" s="49">
        <v>1</v>
      </c>
      <c r="G223" s="50">
        <v>20</v>
      </c>
      <c r="H223" s="51">
        <f t="shared" si="21"/>
        <v>40</v>
      </c>
      <c r="I223" s="52"/>
      <c r="J223" s="52"/>
      <c r="K223" s="313"/>
      <c r="L223" s="53"/>
      <c r="M223" s="54"/>
      <c r="N223" s="50"/>
    </row>
    <row r="224" spans="2:14" x14ac:dyDescent="0.25">
      <c r="B224" s="367"/>
      <c r="C224" s="48" t="s">
        <v>22</v>
      </c>
      <c r="D224" s="49" t="s">
        <v>94</v>
      </c>
      <c r="E224" s="49">
        <v>1</v>
      </c>
      <c r="F224" s="49">
        <v>1</v>
      </c>
      <c r="G224" s="50">
        <v>30</v>
      </c>
      <c r="H224" s="51">
        <f t="shared" si="21"/>
        <v>30</v>
      </c>
      <c r="I224" s="52"/>
      <c r="J224" s="52"/>
      <c r="K224" s="313"/>
      <c r="L224" s="53"/>
      <c r="M224" s="54"/>
      <c r="N224" s="50"/>
    </row>
    <row r="225" spans="2:14" x14ac:dyDescent="0.25">
      <c r="B225" s="367"/>
      <c r="C225" s="315" t="s">
        <v>25</v>
      </c>
      <c r="D225" s="315"/>
      <c r="E225" s="315"/>
      <c r="F225" s="315"/>
      <c r="G225" s="315"/>
      <c r="H225" s="55">
        <f>SUM(H216:H224)</f>
        <v>914.68493150684935</v>
      </c>
      <c r="I225" s="52"/>
      <c r="J225" s="52"/>
      <c r="K225" s="313"/>
      <c r="L225" s="53"/>
      <c r="M225" s="54"/>
      <c r="N225" s="50"/>
    </row>
    <row r="226" spans="2:14" x14ac:dyDescent="0.25">
      <c r="B226" s="367"/>
      <c r="C226" s="368" t="s">
        <v>24</v>
      </c>
      <c r="D226" s="369"/>
      <c r="E226" s="368" t="s">
        <v>97</v>
      </c>
      <c r="F226" s="369"/>
      <c r="G226" s="56">
        <v>100</v>
      </c>
      <c r="H226" s="55">
        <f>ROUNDUP((H225/G226),0)</f>
        <v>10</v>
      </c>
      <c r="I226" s="52"/>
      <c r="J226" s="52"/>
      <c r="K226" s="314"/>
      <c r="L226" s="57"/>
      <c r="M226" s="58"/>
      <c r="N226" s="50"/>
    </row>
    <row r="228" spans="2:14" x14ac:dyDescent="0.25">
      <c r="B228" s="327" t="s">
        <v>0</v>
      </c>
      <c r="C228" s="327" t="s">
        <v>19</v>
      </c>
      <c r="D228" s="327" t="s">
        <v>14</v>
      </c>
      <c r="E228" s="329" t="s">
        <v>1</v>
      </c>
      <c r="F228" s="330"/>
      <c r="G228" s="319" t="s">
        <v>20</v>
      </c>
      <c r="H228" s="319" t="s">
        <v>21</v>
      </c>
      <c r="I228" s="321" t="s">
        <v>96</v>
      </c>
      <c r="J228" s="322"/>
      <c r="K228" s="323" t="s">
        <v>84</v>
      </c>
      <c r="L228" s="325" t="s">
        <v>85</v>
      </c>
      <c r="M228" s="326"/>
      <c r="N228" s="46" t="s">
        <v>28</v>
      </c>
    </row>
    <row r="229" spans="2:14" x14ac:dyDescent="0.25">
      <c r="B229" s="328"/>
      <c r="C229" s="328"/>
      <c r="D229" s="328"/>
      <c r="E229" s="59" t="s">
        <v>104</v>
      </c>
      <c r="F229" s="45" t="s">
        <v>103</v>
      </c>
      <c r="G229" s="320"/>
      <c r="H229" s="320"/>
      <c r="I229" s="91" t="s">
        <v>100</v>
      </c>
      <c r="J229" s="92" t="s">
        <v>99</v>
      </c>
      <c r="K229" s="324"/>
      <c r="L229" s="47" t="s">
        <v>101</v>
      </c>
      <c r="M229" s="61" t="s">
        <v>86</v>
      </c>
      <c r="N229" s="46"/>
    </row>
    <row r="230" spans="2:14" x14ac:dyDescent="0.25">
      <c r="B230" s="367" t="s">
        <v>131</v>
      </c>
      <c r="C230" s="48" t="s">
        <v>26</v>
      </c>
      <c r="D230" s="49" t="s">
        <v>92</v>
      </c>
      <c r="E230" s="49">
        <v>16</v>
      </c>
      <c r="F230" s="49">
        <v>1</v>
      </c>
      <c r="G230" s="50">
        <v>17</v>
      </c>
      <c r="H230" s="51">
        <f>G230*E230*F230</f>
        <v>272</v>
      </c>
      <c r="I230" s="52"/>
      <c r="J230" s="52"/>
      <c r="K230" s="312">
        <f>((E230+E231)/2)/8</f>
        <v>2</v>
      </c>
      <c r="L230" s="53"/>
      <c r="M230" s="54">
        <f>10*5*0.09*1.3</f>
        <v>5.8500000000000005</v>
      </c>
      <c r="N230" s="50"/>
    </row>
    <row r="231" spans="2:14" x14ac:dyDescent="0.25">
      <c r="B231" s="367"/>
      <c r="C231" s="48" t="s">
        <v>27</v>
      </c>
      <c r="D231" s="49" t="s">
        <v>92</v>
      </c>
      <c r="E231" s="49">
        <v>16</v>
      </c>
      <c r="F231" s="49">
        <v>2</v>
      </c>
      <c r="G231" s="50">
        <v>12</v>
      </c>
      <c r="H231" s="51">
        <f t="shared" ref="H231:H238" si="22">G231*E231*F231</f>
        <v>384</v>
      </c>
      <c r="I231" s="52"/>
      <c r="J231" s="52"/>
      <c r="K231" s="313"/>
      <c r="L231" s="44"/>
      <c r="M231" s="60"/>
      <c r="N231" s="50"/>
    </row>
    <row r="232" spans="2:14" x14ac:dyDescent="0.25">
      <c r="B232" s="367"/>
      <c r="C232" s="48"/>
      <c r="D232" s="49"/>
      <c r="E232" s="49"/>
      <c r="F232" s="49"/>
      <c r="G232" s="50"/>
      <c r="H232" s="51">
        <f t="shared" si="22"/>
        <v>0</v>
      </c>
      <c r="I232" s="52"/>
      <c r="J232" s="52"/>
      <c r="K232" s="313"/>
      <c r="L232" s="53"/>
      <c r="M232" s="54"/>
      <c r="N232" s="50"/>
    </row>
    <row r="233" spans="2:14" x14ac:dyDescent="0.25">
      <c r="B233" s="367"/>
      <c r="C233" s="48"/>
      <c r="D233" s="49"/>
      <c r="E233" s="49"/>
      <c r="F233" s="49"/>
      <c r="G233" s="50"/>
      <c r="H233" s="51">
        <f t="shared" si="22"/>
        <v>0</v>
      </c>
      <c r="I233" s="52"/>
      <c r="J233" s="52"/>
      <c r="K233" s="313"/>
      <c r="L233" s="53"/>
      <c r="M233" s="54"/>
      <c r="N233" s="50"/>
    </row>
    <row r="234" spans="2:14" ht="30" x14ac:dyDescent="0.25">
      <c r="B234" s="367"/>
      <c r="C234" s="48" t="s">
        <v>124</v>
      </c>
      <c r="D234" s="49" t="s">
        <v>102</v>
      </c>
      <c r="E234" s="49">
        <v>2</v>
      </c>
      <c r="F234" s="49">
        <v>1</v>
      </c>
      <c r="G234" s="50">
        <f>1950/365</f>
        <v>5.3424657534246576</v>
      </c>
      <c r="H234" s="51">
        <f t="shared" si="22"/>
        <v>10.684931506849315</v>
      </c>
      <c r="I234" s="52"/>
      <c r="J234" s="52"/>
      <c r="K234" s="313"/>
      <c r="L234" s="53"/>
      <c r="M234" s="54"/>
      <c r="N234" s="50"/>
    </row>
    <row r="235" spans="2:14" x14ac:dyDescent="0.25">
      <c r="B235" s="367"/>
      <c r="C235" s="48" t="s">
        <v>85</v>
      </c>
      <c r="D235" s="49" t="s">
        <v>88</v>
      </c>
      <c r="E235" s="49">
        <f>ROUNDUP((SUM(M230:M240)/300),0)</f>
        <v>1</v>
      </c>
      <c r="F235" s="49">
        <v>1</v>
      </c>
      <c r="G235" s="50">
        <f>200*M230/6</f>
        <v>195</v>
      </c>
      <c r="H235" s="51">
        <f t="shared" si="22"/>
        <v>195</v>
      </c>
      <c r="I235" s="52"/>
      <c r="J235" s="52"/>
      <c r="K235" s="313"/>
      <c r="L235" s="53"/>
      <c r="M235" s="54"/>
      <c r="N235" s="50"/>
    </row>
    <row r="236" spans="2:14" x14ac:dyDescent="0.25">
      <c r="B236" s="367"/>
      <c r="C236" s="48" t="s">
        <v>91</v>
      </c>
      <c r="D236" s="49" t="s">
        <v>92</v>
      </c>
      <c r="E236" s="49">
        <v>4</v>
      </c>
      <c r="F236" s="49">
        <v>2</v>
      </c>
      <c r="G236" s="50">
        <v>12</v>
      </c>
      <c r="H236" s="51">
        <f t="shared" si="22"/>
        <v>96</v>
      </c>
      <c r="I236" s="52"/>
      <c r="J236" s="52"/>
      <c r="K236" s="313"/>
      <c r="L236" s="53"/>
      <c r="M236" s="54"/>
      <c r="N236" s="50"/>
    </row>
    <row r="237" spans="2:14" x14ac:dyDescent="0.25">
      <c r="B237" s="367"/>
      <c r="C237" s="48" t="s">
        <v>29</v>
      </c>
      <c r="D237" s="49" t="s">
        <v>88</v>
      </c>
      <c r="E237" s="49">
        <v>2</v>
      </c>
      <c r="F237" s="49">
        <v>1</v>
      </c>
      <c r="G237" s="50">
        <v>20</v>
      </c>
      <c r="H237" s="51">
        <f t="shared" si="22"/>
        <v>40</v>
      </c>
      <c r="I237" s="52"/>
      <c r="J237" s="52"/>
      <c r="K237" s="313"/>
      <c r="L237" s="53"/>
      <c r="M237" s="54"/>
      <c r="N237" s="50"/>
    </row>
    <row r="238" spans="2:14" x14ac:dyDescent="0.25">
      <c r="B238" s="367"/>
      <c r="C238" s="48" t="s">
        <v>22</v>
      </c>
      <c r="D238" s="49" t="s">
        <v>94</v>
      </c>
      <c r="E238" s="49">
        <v>1</v>
      </c>
      <c r="F238" s="49">
        <v>1</v>
      </c>
      <c r="G238" s="50">
        <v>55</v>
      </c>
      <c r="H238" s="51">
        <f t="shared" si="22"/>
        <v>55</v>
      </c>
      <c r="I238" s="52"/>
      <c r="J238" s="52"/>
      <c r="K238" s="313"/>
      <c r="L238" s="53"/>
      <c r="M238" s="54"/>
      <c r="N238" s="50"/>
    </row>
    <row r="239" spans="2:14" x14ac:dyDescent="0.25">
      <c r="B239" s="367"/>
      <c r="C239" s="315" t="s">
        <v>25</v>
      </c>
      <c r="D239" s="315"/>
      <c r="E239" s="315"/>
      <c r="F239" s="315"/>
      <c r="G239" s="315"/>
      <c r="H239" s="55">
        <f>SUM(H230:H238)</f>
        <v>1052.6849315068494</v>
      </c>
      <c r="I239" s="52"/>
      <c r="J239" s="52"/>
      <c r="K239" s="313"/>
      <c r="L239" s="53"/>
      <c r="M239" s="54"/>
      <c r="N239" s="50"/>
    </row>
    <row r="240" spans="2:14" x14ac:dyDescent="0.25">
      <c r="B240" s="367"/>
      <c r="C240" s="368" t="s">
        <v>24</v>
      </c>
      <c r="D240" s="369"/>
      <c r="E240" s="368" t="s">
        <v>97</v>
      </c>
      <c r="F240" s="369"/>
      <c r="G240" s="56">
        <v>100</v>
      </c>
      <c r="H240" s="55">
        <f>ROUNDUP((H239/G240),0)</f>
        <v>11</v>
      </c>
      <c r="I240" s="52"/>
      <c r="J240" s="52"/>
      <c r="K240" s="314"/>
      <c r="L240" s="57"/>
      <c r="M240" s="58"/>
      <c r="N240" s="50"/>
    </row>
    <row r="242" spans="2:14" x14ac:dyDescent="0.25">
      <c r="B242" s="327" t="s">
        <v>0</v>
      </c>
      <c r="C242" s="327" t="s">
        <v>19</v>
      </c>
      <c r="D242" s="327" t="s">
        <v>14</v>
      </c>
      <c r="E242" s="329" t="s">
        <v>1</v>
      </c>
      <c r="F242" s="330"/>
      <c r="G242" s="319" t="s">
        <v>20</v>
      </c>
      <c r="H242" s="319" t="s">
        <v>21</v>
      </c>
      <c r="I242" s="321" t="s">
        <v>96</v>
      </c>
      <c r="J242" s="322"/>
      <c r="K242" s="323" t="s">
        <v>84</v>
      </c>
      <c r="L242" s="325" t="s">
        <v>85</v>
      </c>
      <c r="M242" s="326"/>
      <c r="N242" s="46" t="s">
        <v>28</v>
      </c>
    </row>
    <row r="243" spans="2:14" x14ac:dyDescent="0.25">
      <c r="B243" s="328"/>
      <c r="C243" s="328"/>
      <c r="D243" s="328"/>
      <c r="E243" s="59" t="s">
        <v>104</v>
      </c>
      <c r="F243" s="45" t="s">
        <v>103</v>
      </c>
      <c r="G243" s="320"/>
      <c r="H243" s="320"/>
      <c r="I243" s="91" t="s">
        <v>100</v>
      </c>
      <c r="J243" s="92" t="s">
        <v>99</v>
      </c>
      <c r="K243" s="324"/>
      <c r="L243" s="47" t="s">
        <v>101</v>
      </c>
      <c r="M243" s="61" t="s">
        <v>86</v>
      </c>
      <c r="N243" s="46"/>
    </row>
    <row r="244" spans="2:14" x14ac:dyDescent="0.25">
      <c r="B244" s="367" t="s">
        <v>130</v>
      </c>
      <c r="C244" s="48" t="s">
        <v>26</v>
      </c>
      <c r="D244" s="49" t="s">
        <v>92</v>
      </c>
      <c r="E244" s="49">
        <v>16</v>
      </c>
      <c r="F244" s="49">
        <v>1</v>
      </c>
      <c r="G244" s="50">
        <v>17</v>
      </c>
      <c r="H244" s="51">
        <f>G244*E244*F244</f>
        <v>272</v>
      </c>
      <c r="I244" s="52"/>
      <c r="J244" s="52"/>
      <c r="K244" s="312">
        <f>((E244+E245)/2)/8</f>
        <v>2</v>
      </c>
      <c r="L244" s="53"/>
      <c r="M244" s="54">
        <f>10*5*0.05*1.35</f>
        <v>3.375</v>
      </c>
      <c r="N244" s="50"/>
    </row>
    <row r="245" spans="2:14" x14ac:dyDescent="0.25">
      <c r="B245" s="367"/>
      <c r="C245" s="48" t="s">
        <v>27</v>
      </c>
      <c r="D245" s="49" t="s">
        <v>92</v>
      </c>
      <c r="E245" s="49">
        <v>16</v>
      </c>
      <c r="F245" s="49">
        <v>2</v>
      </c>
      <c r="G245" s="50">
        <v>12</v>
      </c>
      <c r="H245" s="51">
        <f t="shared" ref="H245:H252" si="23">G245*E245*F245</f>
        <v>384</v>
      </c>
      <c r="I245" s="52"/>
      <c r="J245" s="52"/>
      <c r="K245" s="313"/>
      <c r="L245" s="44"/>
      <c r="M245" s="60"/>
      <c r="N245" s="50"/>
    </row>
    <row r="246" spans="2:14" x14ac:dyDescent="0.25">
      <c r="B246" s="367"/>
      <c r="C246" s="48"/>
      <c r="D246" s="49"/>
      <c r="E246" s="49"/>
      <c r="F246" s="49"/>
      <c r="G246" s="50"/>
      <c r="H246" s="51">
        <f t="shared" si="23"/>
        <v>0</v>
      </c>
      <c r="I246" s="52"/>
      <c r="J246" s="52"/>
      <c r="K246" s="313"/>
      <c r="L246" s="53"/>
      <c r="M246" s="54"/>
      <c r="N246" s="50"/>
    </row>
    <row r="247" spans="2:14" x14ac:dyDescent="0.25">
      <c r="B247" s="367"/>
      <c r="C247" s="48"/>
      <c r="D247" s="49"/>
      <c r="E247" s="49"/>
      <c r="F247" s="49"/>
      <c r="G247" s="50"/>
      <c r="H247" s="51">
        <f t="shared" si="23"/>
        <v>0</v>
      </c>
      <c r="I247" s="52"/>
      <c r="J247" s="52"/>
      <c r="K247" s="313"/>
      <c r="L247" s="53"/>
      <c r="M247" s="54"/>
      <c r="N247" s="50"/>
    </row>
    <row r="248" spans="2:14" ht="30" x14ac:dyDescent="0.25">
      <c r="B248" s="367"/>
      <c r="C248" s="48" t="s">
        <v>124</v>
      </c>
      <c r="D248" s="49" t="s">
        <v>102</v>
      </c>
      <c r="E248" s="49">
        <v>2</v>
      </c>
      <c r="F248" s="49">
        <v>1</v>
      </c>
      <c r="G248" s="50">
        <f>1950/365</f>
        <v>5.3424657534246576</v>
      </c>
      <c r="H248" s="51">
        <f t="shared" si="23"/>
        <v>10.684931506849315</v>
      </c>
      <c r="I248" s="52"/>
      <c r="J248" s="52"/>
      <c r="K248" s="313"/>
      <c r="L248" s="53"/>
      <c r="M248" s="54"/>
      <c r="N248" s="50"/>
    </row>
    <row r="249" spans="2:14" x14ac:dyDescent="0.25">
      <c r="B249" s="367"/>
      <c r="C249" s="48" t="s">
        <v>85</v>
      </c>
      <c r="D249" s="49" t="s">
        <v>88</v>
      </c>
      <c r="E249" s="49">
        <f>ROUNDUP((SUM(M244:M254)/300),0)</f>
        <v>1</v>
      </c>
      <c r="F249" s="49">
        <v>1</v>
      </c>
      <c r="G249" s="50">
        <f>200*M244/6</f>
        <v>112.5</v>
      </c>
      <c r="H249" s="51">
        <f t="shared" si="23"/>
        <v>112.5</v>
      </c>
      <c r="I249" s="52"/>
      <c r="J249" s="52"/>
      <c r="K249" s="313"/>
      <c r="L249" s="53"/>
      <c r="M249" s="54"/>
      <c r="N249" s="50"/>
    </row>
    <row r="250" spans="2:14" x14ac:dyDescent="0.25">
      <c r="B250" s="367"/>
      <c r="C250" s="48" t="s">
        <v>91</v>
      </c>
      <c r="D250" s="49" t="s">
        <v>92</v>
      </c>
      <c r="E250" s="49">
        <v>4</v>
      </c>
      <c r="F250" s="49">
        <v>2</v>
      </c>
      <c r="G250" s="50">
        <v>12</v>
      </c>
      <c r="H250" s="51">
        <f t="shared" si="23"/>
        <v>96</v>
      </c>
      <c r="I250" s="52"/>
      <c r="J250" s="52"/>
      <c r="K250" s="313"/>
      <c r="L250" s="53"/>
      <c r="M250" s="54"/>
      <c r="N250" s="50"/>
    </row>
    <row r="251" spans="2:14" x14ac:dyDescent="0.25">
      <c r="B251" s="367"/>
      <c r="C251" s="48" t="s">
        <v>29</v>
      </c>
      <c r="D251" s="49" t="s">
        <v>88</v>
      </c>
      <c r="E251" s="49">
        <v>2</v>
      </c>
      <c r="F251" s="49">
        <v>1</v>
      </c>
      <c r="G251" s="50">
        <v>20</v>
      </c>
      <c r="H251" s="51">
        <f t="shared" si="23"/>
        <v>40</v>
      </c>
      <c r="I251" s="52"/>
      <c r="J251" s="52"/>
      <c r="K251" s="313"/>
      <c r="L251" s="53"/>
      <c r="M251" s="54"/>
      <c r="N251" s="50"/>
    </row>
    <row r="252" spans="2:14" x14ac:dyDescent="0.25">
      <c r="B252" s="367"/>
      <c r="C252" s="48" t="s">
        <v>22</v>
      </c>
      <c r="D252" s="49" t="s">
        <v>94</v>
      </c>
      <c r="E252" s="49">
        <v>1</v>
      </c>
      <c r="F252" s="49">
        <v>1</v>
      </c>
      <c r="G252" s="50">
        <v>30</v>
      </c>
      <c r="H252" s="51">
        <f t="shared" si="23"/>
        <v>30</v>
      </c>
      <c r="I252" s="52"/>
      <c r="J252" s="52"/>
      <c r="K252" s="313"/>
      <c r="L252" s="53"/>
      <c r="M252" s="54"/>
      <c r="N252" s="50"/>
    </row>
    <row r="253" spans="2:14" x14ac:dyDescent="0.25">
      <c r="B253" s="367"/>
      <c r="C253" s="315" t="s">
        <v>25</v>
      </c>
      <c r="D253" s="315"/>
      <c r="E253" s="315"/>
      <c r="F253" s="315"/>
      <c r="G253" s="315"/>
      <c r="H253" s="55">
        <f>SUM(H244:H252)</f>
        <v>945.18493150684935</v>
      </c>
      <c r="I253" s="52"/>
      <c r="J253" s="52"/>
      <c r="K253" s="313"/>
      <c r="L253" s="53"/>
      <c r="M253" s="54"/>
      <c r="N253" s="50"/>
    </row>
    <row r="254" spans="2:14" x14ac:dyDescent="0.25">
      <c r="B254" s="367"/>
      <c r="C254" s="368" t="s">
        <v>24</v>
      </c>
      <c r="D254" s="369"/>
      <c r="E254" s="368" t="s">
        <v>97</v>
      </c>
      <c r="F254" s="369"/>
      <c r="G254" s="56">
        <v>100</v>
      </c>
      <c r="H254" s="55">
        <f>ROUNDUP((H253/G254),0)</f>
        <v>10</v>
      </c>
      <c r="I254" s="52"/>
      <c r="J254" s="52"/>
      <c r="K254" s="314"/>
      <c r="L254" s="57"/>
      <c r="M254" s="58"/>
      <c r="N254" s="50"/>
    </row>
    <row r="255" spans="2:14" x14ac:dyDescent="0.25">
      <c r="B255" s="64"/>
      <c r="C255" s="68"/>
      <c r="D255" s="68"/>
      <c r="E255" s="68"/>
      <c r="F255" s="68"/>
      <c r="G255" s="69"/>
      <c r="H255" s="70"/>
      <c r="I255" s="65"/>
      <c r="J255" s="65"/>
      <c r="K255" s="65"/>
      <c r="L255" s="65"/>
      <c r="M255" s="66"/>
      <c r="N255" s="67"/>
    </row>
    <row r="256" spans="2:14" x14ac:dyDescent="0.25">
      <c r="B256" s="327" t="s">
        <v>0</v>
      </c>
      <c r="C256" s="327" t="s">
        <v>19</v>
      </c>
      <c r="D256" s="327" t="s">
        <v>14</v>
      </c>
      <c r="E256" s="329" t="s">
        <v>1</v>
      </c>
      <c r="F256" s="330"/>
      <c r="G256" s="319" t="s">
        <v>20</v>
      </c>
      <c r="H256" s="319" t="s">
        <v>21</v>
      </c>
      <c r="I256" s="321" t="s">
        <v>96</v>
      </c>
      <c r="J256" s="322"/>
      <c r="K256" s="323" t="s">
        <v>84</v>
      </c>
      <c r="L256" s="325" t="s">
        <v>85</v>
      </c>
      <c r="M256" s="326"/>
      <c r="N256" s="46" t="s">
        <v>28</v>
      </c>
    </row>
    <row r="257" spans="2:14" x14ac:dyDescent="0.25">
      <c r="B257" s="328"/>
      <c r="C257" s="328"/>
      <c r="D257" s="328"/>
      <c r="E257" s="59" t="s">
        <v>104</v>
      </c>
      <c r="F257" s="45" t="s">
        <v>103</v>
      </c>
      <c r="G257" s="320"/>
      <c r="H257" s="320"/>
      <c r="I257" s="91" t="s">
        <v>100</v>
      </c>
      <c r="J257" s="92" t="s">
        <v>99</v>
      </c>
      <c r="K257" s="324"/>
      <c r="L257" s="47" t="s">
        <v>101</v>
      </c>
      <c r="M257" s="61" t="s">
        <v>86</v>
      </c>
      <c r="N257" s="46"/>
    </row>
    <row r="258" spans="2:14" x14ac:dyDescent="0.25">
      <c r="B258" s="367" t="s">
        <v>132</v>
      </c>
      <c r="C258" s="48" t="s">
        <v>26</v>
      </c>
      <c r="D258" s="49" t="s">
        <v>92</v>
      </c>
      <c r="E258" s="49">
        <v>2</v>
      </c>
      <c r="F258" s="49">
        <v>1</v>
      </c>
      <c r="G258" s="50">
        <v>17</v>
      </c>
      <c r="H258" s="51">
        <f>G258*E258*F258</f>
        <v>34</v>
      </c>
      <c r="I258" s="52">
        <f>$G$424/(1*8*K258)</f>
        <v>50</v>
      </c>
      <c r="J258" s="52" t="s">
        <v>98</v>
      </c>
      <c r="K258" s="312">
        <f>((E258+E259)/2)/8</f>
        <v>0.25</v>
      </c>
      <c r="L258" s="53"/>
      <c r="M258" s="54">
        <f>0.9*2.2*0.07*1.2</f>
        <v>0.16632000000000002</v>
      </c>
      <c r="N258" s="50"/>
    </row>
    <row r="259" spans="2:14" x14ac:dyDescent="0.25">
      <c r="B259" s="367"/>
      <c r="C259" s="48" t="s">
        <v>27</v>
      </c>
      <c r="D259" s="49" t="s">
        <v>92</v>
      </c>
      <c r="E259" s="49">
        <v>2</v>
      </c>
      <c r="F259" s="49">
        <v>1</v>
      </c>
      <c r="G259" s="50">
        <v>12</v>
      </c>
      <c r="H259" s="51">
        <f t="shared" ref="H259:H266" si="24">G259*E259*F259</f>
        <v>24</v>
      </c>
      <c r="I259" s="52">
        <f>$G$424/(2*8*K258)</f>
        <v>25</v>
      </c>
      <c r="J259" s="52" t="s">
        <v>98</v>
      </c>
      <c r="K259" s="313"/>
      <c r="L259" s="44"/>
      <c r="M259" s="60"/>
      <c r="N259" s="50"/>
    </row>
    <row r="260" spans="2:14" x14ac:dyDescent="0.25">
      <c r="B260" s="367"/>
      <c r="C260" s="48"/>
      <c r="D260" s="49"/>
      <c r="E260" s="49"/>
      <c r="F260" s="49"/>
      <c r="G260" s="50"/>
      <c r="H260" s="51">
        <f t="shared" si="24"/>
        <v>0</v>
      </c>
      <c r="I260" s="52"/>
      <c r="J260" s="52"/>
      <c r="K260" s="313"/>
      <c r="L260" s="53"/>
      <c r="M260" s="54"/>
      <c r="N260" s="50"/>
    </row>
    <row r="261" spans="2:14" x14ac:dyDescent="0.25">
      <c r="B261" s="367"/>
      <c r="C261" s="48"/>
      <c r="D261" s="49"/>
      <c r="E261" s="49"/>
      <c r="F261" s="49"/>
      <c r="G261" s="50"/>
      <c r="H261" s="51">
        <f t="shared" si="24"/>
        <v>0</v>
      </c>
      <c r="I261" s="52"/>
      <c r="J261" s="52"/>
      <c r="K261" s="313"/>
      <c r="L261" s="53"/>
      <c r="M261" s="54"/>
      <c r="N261" s="50"/>
    </row>
    <row r="262" spans="2:14" x14ac:dyDescent="0.25">
      <c r="B262" s="367"/>
      <c r="C262" s="48"/>
      <c r="D262" s="49"/>
      <c r="E262" s="49"/>
      <c r="F262" s="49"/>
      <c r="G262" s="50"/>
      <c r="H262" s="51">
        <f t="shared" si="24"/>
        <v>0</v>
      </c>
      <c r="I262" s="52"/>
      <c r="J262" s="52"/>
      <c r="K262" s="313"/>
      <c r="L262" s="53"/>
      <c r="M262" s="54"/>
      <c r="N262" s="50"/>
    </row>
    <row r="263" spans="2:14" x14ac:dyDescent="0.25">
      <c r="B263" s="367"/>
      <c r="C263" s="48" t="s">
        <v>85</v>
      </c>
      <c r="D263" s="49" t="s">
        <v>88</v>
      </c>
      <c r="E263" s="49">
        <f>ROUNDUP((SUM(M258:M268)/300),0)</f>
        <v>1</v>
      </c>
      <c r="F263" s="49">
        <v>1</v>
      </c>
      <c r="G263" s="50">
        <f>200*M258/6</f>
        <v>5.5440000000000005</v>
      </c>
      <c r="H263" s="51">
        <f t="shared" si="24"/>
        <v>5.5440000000000005</v>
      </c>
      <c r="I263" s="52"/>
      <c r="J263" s="52"/>
      <c r="K263" s="313"/>
      <c r="L263" s="53"/>
      <c r="M263" s="54"/>
      <c r="N263" s="50"/>
    </row>
    <row r="264" spans="2:14" x14ac:dyDescent="0.25">
      <c r="B264" s="367"/>
      <c r="C264" s="48" t="s">
        <v>91</v>
      </c>
      <c r="D264" s="49" t="s">
        <v>92</v>
      </c>
      <c r="E264" s="49">
        <v>1</v>
      </c>
      <c r="F264" s="49">
        <v>1</v>
      </c>
      <c r="G264" s="50">
        <v>12</v>
      </c>
      <c r="H264" s="51">
        <f t="shared" si="24"/>
        <v>12</v>
      </c>
      <c r="I264" s="52"/>
      <c r="J264" s="52"/>
      <c r="K264" s="313"/>
      <c r="L264" s="53"/>
      <c r="M264" s="54"/>
      <c r="N264" s="50"/>
    </row>
    <row r="265" spans="2:14" x14ac:dyDescent="0.25">
      <c r="B265" s="367"/>
      <c r="C265" s="48" t="s">
        <v>29</v>
      </c>
      <c r="D265" s="49" t="s">
        <v>88</v>
      </c>
      <c r="E265" s="49">
        <v>1</v>
      </c>
      <c r="F265" s="49">
        <v>1</v>
      </c>
      <c r="G265" s="50">
        <v>20</v>
      </c>
      <c r="H265" s="51">
        <f t="shared" si="24"/>
        <v>20</v>
      </c>
      <c r="I265" s="52"/>
      <c r="J265" s="52"/>
      <c r="K265" s="313"/>
      <c r="L265" s="53"/>
      <c r="M265" s="54"/>
      <c r="N265" s="50"/>
    </row>
    <row r="266" spans="2:14" x14ac:dyDescent="0.25">
      <c r="B266" s="367"/>
      <c r="C266" s="48" t="s">
        <v>22</v>
      </c>
      <c r="D266" s="49" t="s">
        <v>94</v>
      </c>
      <c r="E266" s="49">
        <v>1</v>
      </c>
      <c r="F266" s="49">
        <v>1</v>
      </c>
      <c r="G266" s="50">
        <v>10</v>
      </c>
      <c r="H266" s="51">
        <f t="shared" si="24"/>
        <v>10</v>
      </c>
      <c r="I266" s="52"/>
      <c r="J266" s="52"/>
      <c r="K266" s="313"/>
      <c r="L266" s="53"/>
      <c r="M266" s="54"/>
      <c r="N266" s="50"/>
    </row>
    <row r="267" spans="2:14" x14ac:dyDescent="0.25">
      <c r="B267" s="367"/>
      <c r="C267" s="315" t="s">
        <v>25</v>
      </c>
      <c r="D267" s="315"/>
      <c r="E267" s="315"/>
      <c r="F267" s="315"/>
      <c r="G267" s="315"/>
      <c r="H267" s="55">
        <f>SUM(H258:H266)</f>
        <v>105.544</v>
      </c>
      <c r="I267" s="52"/>
      <c r="J267" s="52"/>
      <c r="K267" s="313"/>
      <c r="L267" s="53"/>
      <c r="M267" s="54"/>
      <c r="N267" s="50"/>
    </row>
    <row r="268" spans="2:14" x14ac:dyDescent="0.25">
      <c r="B268" s="367"/>
      <c r="C268" s="368" t="s">
        <v>166</v>
      </c>
      <c r="D268" s="369"/>
      <c r="E268" s="368" t="s">
        <v>99</v>
      </c>
      <c r="F268" s="369"/>
      <c r="G268" s="56">
        <v>1</v>
      </c>
      <c r="H268" s="55">
        <f>ROUNDUP((H267/G268),0)</f>
        <v>106</v>
      </c>
      <c r="I268" s="52"/>
      <c r="J268" s="52"/>
      <c r="K268" s="314"/>
      <c r="L268" s="57"/>
      <c r="M268" s="58"/>
      <c r="N268" s="50"/>
    </row>
    <row r="269" spans="2:14" x14ac:dyDescent="0.25">
      <c r="B269" s="64"/>
      <c r="C269" s="68"/>
      <c r="D269" s="68"/>
      <c r="E269" s="68"/>
      <c r="F269" s="68"/>
      <c r="G269" s="69"/>
      <c r="H269" s="70"/>
      <c r="I269" s="65"/>
      <c r="J269" s="65"/>
      <c r="K269" s="65"/>
      <c r="L269" s="65"/>
      <c r="M269" s="66"/>
      <c r="N269" s="67"/>
    </row>
    <row r="270" spans="2:14" x14ac:dyDescent="0.25">
      <c r="B270" s="327" t="s">
        <v>0</v>
      </c>
      <c r="C270" s="327" t="s">
        <v>19</v>
      </c>
      <c r="D270" s="327" t="s">
        <v>14</v>
      </c>
      <c r="E270" s="329" t="s">
        <v>1</v>
      </c>
      <c r="F270" s="330"/>
      <c r="G270" s="319" t="s">
        <v>20</v>
      </c>
      <c r="H270" s="319" t="s">
        <v>21</v>
      </c>
      <c r="I270" s="321" t="s">
        <v>96</v>
      </c>
      <c r="J270" s="322"/>
      <c r="K270" s="323" t="s">
        <v>84</v>
      </c>
      <c r="L270" s="325" t="s">
        <v>85</v>
      </c>
      <c r="M270" s="326"/>
      <c r="N270" s="46" t="s">
        <v>28</v>
      </c>
    </row>
    <row r="271" spans="2:14" ht="15" customHeight="1" x14ac:dyDescent="0.25">
      <c r="B271" s="328"/>
      <c r="C271" s="328"/>
      <c r="D271" s="328"/>
      <c r="E271" s="59" t="s">
        <v>104</v>
      </c>
      <c r="F271" s="45" t="s">
        <v>103</v>
      </c>
      <c r="G271" s="320"/>
      <c r="H271" s="320"/>
      <c r="I271" s="91" t="s">
        <v>100</v>
      </c>
      <c r="J271" s="92" t="s">
        <v>99</v>
      </c>
      <c r="K271" s="324"/>
      <c r="L271" s="47" t="s">
        <v>101</v>
      </c>
      <c r="M271" s="61" t="s">
        <v>86</v>
      </c>
      <c r="N271" s="46"/>
    </row>
    <row r="272" spans="2:14" x14ac:dyDescent="0.25">
      <c r="B272" s="367" t="s">
        <v>141</v>
      </c>
      <c r="C272" s="48" t="s">
        <v>26</v>
      </c>
      <c r="D272" s="49" t="s">
        <v>92</v>
      </c>
      <c r="E272" s="49">
        <v>4</v>
      </c>
      <c r="F272" s="49">
        <v>1</v>
      </c>
      <c r="G272" s="50">
        <v>17</v>
      </c>
      <c r="H272" s="51">
        <f>G272*E272*F272</f>
        <v>68</v>
      </c>
      <c r="I272" s="52"/>
      <c r="J272" s="52"/>
      <c r="K272" s="312">
        <f>((E272+E273)/2)/8</f>
        <v>0.5</v>
      </c>
      <c r="L272" s="53"/>
      <c r="M272" s="54">
        <f>3*1.2*0.6*1.5</f>
        <v>3.2399999999999993</v>
      </c>
      <c r="N272" s="50"/>
    </row>
    <row r="273" spans="2:14" x14ac:dyDescent="0.25">
      <c r="B273" s="367"/>
      <c r="C273" s="48" t="s">
        <v>27</v>
      </c>
      <c r="D273" s="49" t="s">
        <v>92</v>
      </c>
      <c r="E273" s="49">
        <v>4</v>
      </c>
      <c r="F273" s="49">
        <v>1</v>
      </c>
      <c r="G273" s="50">
        <v>12</v>
      </c>
      <c r="H273" s="51">
        <f t="shared" ref="H273:H280" si="25">G273*E273*F273</f>
        <v>48</v>
      </c>
      <c r="I273" s="52"/>
      <c r="J273" s="52"/>
      <c r="K273" s="313"/>
      <c r="L273" s="44"/>
      <c r="M273" s="60"/>
      <c r="N273" s="50"/>
    </row>
    <row r="274" spans="2:14" x14ac:dyDescent="0.25">
      <c r="B274" s="367"/>
      <c r="C274" s="48"/>
      <c r="D274" s="49"/>
      <c r="E274" s="49"/>
      <c r="F274" s="49"/>
      <c r="G274" s="50"/>
      <c r="H274" s="51">
        <f t="shared" si="25"/>
        <v>0</v>
      </c>
      <c r="I274" s="52"/>
      <c r="J274" s="52"/>
      <c r="K274" s="313"/>
      <c r="L274" s="53"/>
      <c r="M274" s="54"/>
      <c r="N274" s="50"/>
    </row>
    <row r="275" spans="2:14" x14ac:dyDescent="0.25">
      <c r="B275" s="367"/>
      <c r="C275" s="48"/>
      <c r="D275" s="49"/>
      <c r="E275" s="49"/>
      <c r="F275" s="49"/>
      <c r="G275" s="50"/>
      <c r="H275" s="51">
        <f t="shared" si="25"/>
        <v>0</v>
      </c>
      <c r="I275" s="52"/>
      <c r="J275" s="52"/>
      <c r="K275" s="313"/>
      <c r="L275" s="53"/>
      <c r="M275" s="54"/>
      <c r="N275" s="50"/>
    </row>
    <row r="276" spans="2:14" x14ac:dyDescent="0.25">
      <c r="B276" s="367"/>
      <c r="C276" s="48"/>
      <c r="D276" s="49"/>
      <c r="E276" s="49"/>
      <c r="F276" s="49"/>
      <c r="G276" s="50"/>
      <c r="H276" s="51">
        <f t="shared" si="25"/>
        <v>0</v>
      </c>
      <c r="I276" s="52"/>
      <c r="J276" s="52"/>
      <c r="K276" s="313"/>
      <c r="L276" s="53"/>
      <c r="M276" s="54"/>
      <c r="N276" s="50"/>
    </row>
    <row r="277" spans="2:14" x14ac:dyDescent="0.25">
      <c r="B277" s="367"/>
      <c r="C277" s="48" t="s">
        <v>85</v>
      </c>
      <c r="D277" s="49" t="s">
        <v>88</v>
      </c>
      <c r="E277" s="49">
        <f>ROUNDUP((SUM(M272:M282)/300),0)</f>
        <v>1</v>
      </c>
      <c r="F277" s="49">
        <v>1</v>
      </c>
      <c r="G277" s="50">
        <f>200*M272/6</f>
        <v>107.99999999999999</v>
      </c>
      <c r="H277" s="51">
        <f t="shared" si="25"/>
        <v>107.99999999999999</v>
      </c>
      <c r="I277" s="52"/>
      <c r="J277" s="52"/>
      <c r="K277" s="313"/>
      <c r="L277" s="53"/>
      <c r="M277" s="54"/>
      <c r="N277" s="50"/>
    </row>
    <row r="278" spans="2:14" x14ac:dyDescent="0.25">
      <c r="B278" s="367"/>
      <c r="C278" s="48" t="s">
        <v>91</v>
      </c>
      <c r="D278" s="49" t="s">
        <v>92</v>
      </c>
      <c r="E278" s="49">
        <v>2</v>
      </c>
      <c r="F278" s="49">
        <v>2</v>
      </c>
      <c r="G278" s="50">
        <v>12</v>
      </c>
      <c r="H278" s="51">
        <f t="shared" si="25"/>
        <v>48</v>
      </c>
      <c r="I278" s="52"/>
      <c r="J278" s="52"/>
      <c r="K278" s="313"/>
      <c r="L278" s="53"/>
      <c r="M278" s="54"/>
      <c r="N278" s="50"/>
    </row>
    <row r="279" spans="2:14" x14ac:dyDescent="0.25">
      <c r="B279" s="367"/>
      <c r="C279" s="48" t="s">
        <v>29</v>
      </c>
      <c r="D279" s="49" t="s">
        <v>88</v>
      </c>
      <c r="E279" s="49">
        <v>1</v>
      </c>
      <c r="F279" s="49">
        <v>1</v>
      </c>
      <c r="G279" s="50">
        <v>20</v>
      </c>
      <c r="H279" s="51">
        <f t="shared" si="25"/>
        <v>20</v>
      </c>
      <c r="I279" s="52"/>
      <c r="J279" s="52"/>
      <c r="K279" s="313"/>
      <c r="L279" s="53"/>
      <c r="M279" s="54"/>
      <c r="N279" s="50"/>
    </row>
    <row r="280" spans="2:14" x14ac:dyDescent="0.25">
      <c r="B280" s="367"/>
      <c r="C280" s="48" t="s">
        <v>22</v>
      </c>
      <c r="D280" s="49" t="s">
        <v>94</v>
      </c>
      <c r="E280" s="49">
        <v>1</v>
      </c>
      <c r="F280" s="49">
        <v>0</v>
      </c>
      <c r="G280" s="50">
        <v>10</v>
      </c>
      <c r="H280" s="51">
        <f t="shared" si="25"/>
        <v>0</v>
      </c>
      <c r="I280" s="52"/>
      <c r="J280" s="52"/>
      <c r="K280" s="313"/>
      <c r="L280" s="53"/>
      <c r="M280" s="54"/>
      <c r="N280" s="50"/>
    </row>
    <row r="281" spans="2:14" x14ac:dyDescent="0.25">
      <c r="B281" s="367"/>
      <c r="C281" s="315" t="s">
        <v>25</v>
      </c>
      <c r="D281" s="315"/>
      <c r="E281" s="315"/>
      <c r="F281" s="315"/>
      <c r="G281" s="315"/>
      <c r="H281" s="55">
        <f>SUM(H272:H280)</f>
        <v>292</v>
      </c>
      <c r="I281" s="52"/>
      <c r="J281" s="52"/>
      <c r="K281" s="313"/>
      <c r="L281" s="53"/>
      <c r="M281" s="54"/>
      <c r="N281" s="50"/>
    </row>
    <row r="282" spans="2:14" x14ac:dyDescent="0.25">
      <c r="B282" s="367"/>
      <c r="C282" s="368" t="s">
        <v>24</v>
      </c>
      <c r="D282" s="369"/>
      <c r="E282" s="368" t="s">
        <v>97</v>
      </c>
      <c r="F282" s="369"/>
      <c r="G282" s="88">
        <f>3*0.9</f>
        <v>2.7</v>
      </c>
      <c r="H282" s="55">
        <f>ROUNDUP((H281/G282),0)</f>
        <v>109</v>
      </c>
      <c r="I282" s="52"/>
      <c r="J282" s="52"/>
      <c r="K282" s="314"/>
      <c r="L282" s="57"/>
      <c r="M282" s="58"/>
      <c r="N282" s="50"/>
    </row>
    <row r="283" spans="2:14" x14ac:dyDescent="0.25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</row>
    <row r="284" spans="2:14" x14ac:dyDescent="0.25">
      <c r="B284" s="327" t="s">
        <v>0</v>
      </c>
      <c r="C284" s="327" t="s">
        <v>19</v>
      </c>
      <c r="D284" s="327" t="s">
        <v>14</v>
      </c>
      <c r="E284" s="329" t="s">
        <v>1</v>
      </c>
      <c r="F284" s="330"/>
      <c r="G284" s="319" t="s">
        <v>20</v>
      </c>
      <c r="H284" s="319" t="s">
        <v>21</v>
      </c>
      <c r="I284" s="321" t="s">
        <v>96</v>
      </c>
      <c r="J284" s="322"/>
      <c r="K284" s="323" t="s">
        <v>84</v>
      </c>
      <c r="L284" s="325" t="s">
        <v>85</v>
      </c>
      <c r="M284" s="326"/>
      <c r="N284" s="46" t="s">
        <v>28</v>
      </c>
    </row>
    <row r="285" spans="2:14" x14ac:dyDescent="0.25">
      <c r="B285" s="328"/>
      <c r="C285" s="328"/>
      <c r="D285" s="328"/>
      <c r="E285" s="59" t="s">
        <v>104</v>
      </c>
      <c r="F285" s="45" t="s">
        <v>103</v>
      </c>
      <c r="G285" s="320"/>
      <c r="H285" s="320"/>
      <c r="I285" s="91" t="s">
        <v>100</v>
      </c>
      <c r="J285" s="92" t="s">
        <v>99</v>
      </c>
      <c r="K285" s="324"/>
      <c r="L285" s="47" t="s">
        <v>101</v>
      </c>
      <c r="M285" s="61" t="s">
        <v>86</v>
      </c>
      <c r="N285" s="46"/>
    </row>
    <row r="286" spans="2:14" x14ac:dyDescent="0.25">
      <c r="B286" s="367" t="s">
        <v>167</v>
      </c>
      <c r="C286" s="48" t="s">
        <v>26</v>
      </c>
      <c r="D286" s="49" t="s">
        <v>92</v>
      </c>
      <c r="E286" s="49">
        <v>1</v>
      </c>
      <c r="F286" s="49">
        <v>1</v>
      </c>
      <c r="G286" s="50">
        <v>17</v>
      </c>
      <c r="H286" s="51">
        <f>G286*E286*F286</f>
        <v>17</v>
      </c>
      <c r="I286" s="52"/>
      <c r="J286" s="52"/>
      <c r="K286" s="312">
        <f>((E286+E287)/2)/8</f>
        <v>0.125</v>
      </c>
      <c r="L286" s="53"/>
      <c r="M286" s="54">
        <f>0.05</f>
        <v>0.05</v>
      </c>
      <c r="N286" s="50"/>
    </row>
    <row r="287" spans="2:14" x14ac:dyDescent="0.25">
      <c r="B287" s="367"/>
      <c r="C287" s="48" t="s">
        <v>27</v>
      </c>
      <c r="D287" s="49" t="s">
        <v>92</v>
      </c>
      <c r="E287" s="49">
        <v>1</v>
      </c>
      <c r="F287" s="49">
        <v>0</v>
      </c>
      <c r="G287" s="50">
        <v>12</v>
      </c>
      <c r="H287" s="51">
        <f t="shared" ref="H287:H294" si="26">G287*E287*F287</f>
        <v>0</v>
      </c>
      <c r="I287" s="52"/>
      <c r="J287" s="52"/>
      <c r="K287" s="313"/>
      <c r="L287" s="44"/>
      <c r="M287" s="60"/>
      <c r="N287" s="50"/>
    </row>
    <row r="288" spans="2:14" x14ac:dyDescent="0.25">
      <c r="B288" s="367"/>
      <c r="C288" s="48"/>
      <c r="D288" s="49"/>
      <c r="E288" s="49"/>
      <c r="F288" s="49"/>
      <c r="G288" s="50"/>
      <c r="H288" s="51">
        <f t="shared" si="26"/>
        <v>0</v>
      </c>
      <c r="I288" s="52"/>
      <c r="J288" s="52"/>
      <c r="K288" s="313"/>
      <c r="L288" s="53"/>
      <c r="M288" s="54"/>
      <c r="N288" s="50"/>
    </row>
    <row r="289" spans="2:14" x14ac:dyDescent="0.25">
      <c r="B289" s="367"/>
      <c r="C289" s="48"/>
      <c r="D289" s="49"/>
      <c r="E289" s="49"/>
      <c r="F289" s="49"/>
      <c r="G289" s="50"/>
      <c r="H289" s="51">
        <f t="shared" si="26"/>
        <v>0</v>
      </c>
      <c r="I289" s="52"/>
      <c r="J289" s="52"/>
      <c r="K289" s="313"/>
      <c r="L289" s="53"/>
      <c r="M289" s="54"/>
      <c r="N289" s="50"/>
    </row>
    <row r="290" spans="2:14" x14ac:dyDescent="0.25">
      <c r="B290" s="367"/>
      <c r="C290" s="48"/>
      <c r="D290" s="49"/>
      <c r="E290" s="49"/>
      <c r="F290" s="49"/>
      <c r="G290" s="50"/>
      <c r="H290" s="51">
        <f t="shared" si="26"/>
        <v>0</v>
      </c>
      <c r="I290" s="52"/>
      <c r="J290" s="52"/>
      <c r="K290" s="313"/>
      <c r="L290" s="53"/>
      <c r="M290" s="54"/>
      <c r="N290" s="50"/>
    </row>
    <row r="291" spans="2:14" x14ac:dyDescent="0.25">
      <c r="B291" s="367"/>
      <c r="C291" s="48" t="s">
        <v>85</v>
      </c>
      <c r="D291" s="49" t="s">
        <v>88</v>
      </c>
      <c r="E291" s="49">
        <f>ROUNDUP((SUM(M286:M296)/300),0)</f>
        <v>1</v>
      </c>
      <c r="F291" s="49">
        <v>1</v>
      </c>
      <c r="G291" s="50">
        <f>200*M286/6</f>
        <v>1.6666666666666667</v>
      </c>
      <c r="H291" s="51">
        <f t="shared" si="26"/>
        <v>1.6666666666666667</v>
      </c>
      <c r="I291" s="52"/>
      <c r="J291" s="52"/>
      <c r="K291" s="313"/>
      <c r="L291" s="53"/>
      <c r="M291" s="54"/>
      <c r="N291" s="50"/>
    </row>
    <row r="292" spans="2:14" x14ac:dyDescent="0.25">
      <c r="B292" s="367"/>
      <c r="C292" s="48" t="s">
        <v>91</v>
      </c>
      <c r="D292" s="49" t="s">
        <v>92</v>
      </c>
      <c r="E292" s="49">
        <v>1</v>
      </c>
      <c r="F292" s="49">
        <v>0.5</v>
      </c>
      <c r="G292" s="50">
        <v>12</v>
      </c>
      <c r="H292" s="51">
        <f t="shared" si="26"/>
        <v>6</v>
      </c>
      <c r="I292" s="52"/>
      <c r="J292" s="52"/>
      <c r="K292" s="313"/>
      <c r="L292" s="53"/>
      <c r="M292" s="54"/>
      <c r="N292" s="50"/>
    </row>
    <row r="293" spans="2:14" x14ac:dyDescent="0.25">
      <c r="B293" s="367"/>
      <c r="C293" s="48" t="s">
        <v>29</v>
      </c>
      <c r="D293" s="49" t="s">
        <v>88</v>
      </c>
      <c r="E293" s="49">
        <v>1</v>
      </c>
      <c r="F293" s="49">
        <v>0.5</v>
      </c>
      <c r="G293" s="50">
        <v>20</v>
      </c>
      <c r="H293" s="51">
        <f t="shared" si="26"/>
        <v>10</v>
      </c>
      <c r="I293" s="52"/>
      <c r="J293" s="52"/>
      <c r="K293" s="313"/>
      <c r="L293" s="53"/>
      <c r="M293" s="54"/>
      <c r="N293" s="50"/>
    </row>
    <row r="294" spans="2:14" x14ac:dyDescent="0.25">
      <c r="B294" s="367"/>
      <c r="C294" s="48" t="s">
        <v>22</v>
      </c>
      <c r="D294" s="49" t="s">
        <v>94</v>
      </c>
      <c r="E294" s="49">
        <v>1</v>
      </c>
      <c r="F294" s="49">
        <v>0</v>
      </c>
      <c r="G294" s="50">
        <v>10</v>
      </c>
      <c r="H294" s="51">
        <f t="shared" si="26"/>
        <v>0</v>
      </c>
      <c r="I294" s="52"/>
      <c r="J294" s="52"/>
      <c r="K294" s="313"/>
      <c r="L294" s="53"/>
      <c r="M294" s="54"/>
      <c r="N294" s="50"/>
    </row>
    <row r="295" spans="2:14" x14ac:dyDescent="0.25">
      <c r="B295" s="367"/>
      <c r="C295" s="315" t="s">
        <v>25</v>
      </c>
      <c r="D295" s="315"/>
      <c r="E295" s="315"/>
      <c r="F295" s="315"/>
      <c r="G295" s="315"/>
      <c r="H295" s="55">
        <f>SUM(H286:H294)</f>
        <v>34.666666666666671</v>
      </c>
      <c r="I295" s="52"/>
      <c r="J295" s="52"/>
      <c r="K295" s="313"/>
      <c r="L295" s="53"/>
      <c r="M295" s="54"/>
      <c r="N295" s="50"/>
    </row>
    <row r="296" spans="2:14" x14ac:dyDescent="0.25">
      <c r="B296" s="367"/>
      <c r="C296" s="368" t="s">
        <v>166</v>
      </c>
      <c r="D296" s="369"/>
      <c r="E296" s="368" t="s">
        <v>99</v>
      </c>
      <c r="F296" s="369"/>
      <c r="G296" s="56">
        <v>1</v>
      </c>
      <c r="H296" s="55">
        <f>ROUNDUP((H295/G296),0)</f>
        <v>35</v>
      </c>
      <c r="I296" s="52"/>
      <c r="J296" s="52"/>
      <c r="K296" s="314"/>
      <c r="L296" s="57"/>
      <c r="M296" s="58"/>
      <c r="N296" s="50"/>
    </row>
    <row r="297" spans="2:14" x14ac:dyDescent="0.25"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</row>
    <row r="298" spans="2:14" x14ac:dyDescent="0.25">
      <c r="B298" s="327" t="s">
        <v>0</v>
      </c>
      <c r="C298" s="327" t="s">
        <v>19</v>
      </c>
      <c r="D298" s="327" t="s">
        <v>14</v>
      </c>
      <c r="E298" s="329" t="s">
        <v>1</v>
      </c>
      <c r="F298" s="330"/>
      <c r="G298" s="319" t="s">
        <v>20</v>
      </c>
      <c r="H298" s="319" t="s">
        <v>21</v>
      </c>
      <c r="I298" s="321" t="s">
        <v>96</v>
      </c>
      <c r="J298" s="322"/>
      <c r="K298" s="323" t="s">
        <v>84</v>
      </c>
      <c r="L298" s="325" t="s">
        <v>85</v>
      </c>
      <c r="M298" s="326"/>
      <c r="N298" s="46" t="s">
        <v>28</v>
      </c>
    </row>
    <row r="299" spans="2:14" x14ac:dyDescent="0.25">
      <c r="B299" s="328"/>
      <c r="C299" s="328"/>
      <c r="D299" s="328"/>
      <c r="E299" s="59" t="s">
        <v>104</v>
      </c>
      <c r="F299" s="45" t="s">
        <v>103</v>
      </c>
      <c r="G299" s="320"/>
      <c r="H299" s="320"/>
      <c r="I299" s="91" t="s">
        <v>100</v>
      </c>
      <c r="J299" s="92" t="s">
        <v>99</v>
      </c>
      <c r="K299" s="324"/>
      <c r="L299" s="47" t="s">
        <v>101</v>
      </c>
      <c r="M299" s="61" t="s">
        <v>86</v>
      </c>
      <c r="N299" s="46"/>
    </row>
    <row r="300" spans="2:14" x14ac:dyDescent="0.25">
      <c r="B300" s="367" t="s">
        <v>168</v>
      </c>
      <c r="C300" s="48" t="s">
        <v>26</v>
      </c>
      <c r="D300" s="49" t="s">
        <v>92</v>
      </c>
      <c r="E300" s="49">
        <v>2</v>
      </c>
      <c r="F300" s="49">
        <v>1</v>
      </c>
      <c r="G300" s="50">
        <v>17</v>
      </c>
      <c r="H300" s="51">
        <f>G300*E300*F300</f>
        <v>34</v>
      </c>
      <c r="I300" s="52"/>
      <c r="J300" s="52"/>
      <c r="K300" s="312">
        <f>((E300+E301)/2)/8</f>
        <v>0.25</v>
      </c>
      <c r="L300" s="53"/>
      <c r="M300" s="54">
        <f>0.5</f>
        <v>0.5</v>
      </c>
      <c r="N300" s="50"/>
    </row>
    <row r="301" spans="2:14" x14ac:dyDescent="0.25">
      <c r="B301" s="367"/>
      <c r="C301" s="48" t="s">
        <v>27</v>
      </c>
      <c r="D301" s="49" t="s">
        <v>92</v>
      </c>
      <c r="E301" s="49">
        <v>2</v>
      </c>
      <c r="F301" s="49">
        <v>1</v>
      </c>
      <c r="G301" s="50">
        <v>12</v>
      </c>
      <c r="H301" s="51">
        <f t="shared" ref="H301:H308" si="27">G301*E301*F301</f>
        <v>24</v>
      </c>
      <c r="I301" s="52"/>
      <c r="J301" s="52"/>
      <c r="K301" s="313"/>
      <c r="L301" s="44"/>
      <c r="M301" s="60"/>
      <c r="N301" s="50"/>
    </row>
    <row r="302" spans="2:14" x14ac:dyDescent="0.25">
      <c r="B302" s="367"/>
      <c r="C302" s="48"/>
      <c r="D302" s="49"/>
      <c r="E302" s="49"/>
      <c r="F302" s="49"/>
      <c r="G302" s="50"/>
      <c r="H302" s="51">
        <f t="shared" si="27"/>
        <v>0</v>
      </c>
      <c r="I302" s="52"/>
      <c r="J302" s="52"/>
      <c r="K302" s="313"/>
      <c r="L302" s="53"/>
      <c r="M302" s="54"/>
      <c r="N302" s="50"/>
    </row>
    <row r="303" spans="2:14" x14ac:dyDescent="0.25">
      <c r="B303" s="367"/>
      <c r="C303" s="48"/>
      <c r="D303" s="49"/>
      <c r="E303" s="49"/>
      <c r="F303" s="49"/>
      <c r="G303" s="50"/>
      <c r="H303" s="51">
        <f t="shared" si="27"/>
        <v>0</v>
      </c>
      <c r="I303" s="52"/>
      <c r="J303" s="52"/>
      <c r="K303" s="313"/>
      <c r="L303" s="53"/>
      <c r="M303" s="54"/>
      <c r="N303" s="50"/>
    </row>
    <row r="304" spans="2:14" x14ac:dyDescent="0.25">
      <c r="B304" s="367"/>
      <c r="C304" s="48"/>
      <c r="D304" s="49"/>
      <c r="E304" s="49"/>
      <c r="F304" s="49"/>
      <c r="G304" s="50"/>
      <c r="H304" s="51">
        <f t="shared" si="27"/>
        <v>0</v>
      </c>
      <c r="I304" s="52"/>
      <c r="J304" s="52"/>
      <c r="K304" s="313"/>
      <c r="L304" s="53"/>
      <c r="M304" s="54"/>
      <c r="N304" s="50"/>
    </row>
    <row r="305" spans="2:14" x14ac:dyDescent="0.25">
      <c r="B305" s="367"/>
      <c r="C305" s="48" t="s">
        <v>85</v>
      </c>
      <c r="D305" s="49" t="s">
        <v>88</v>
      </c>
      <c r="E305" s="49">
        <f>ROUNDUP((SUM(M300:M310)/300),0)</f>
        <v>1</v>
      </c>
      <c r="F305" s="49">
        <v>1</v>
      </c>
      <c r="G305" s="50">
        <f>200*M300/6</f>
        <v>16.666666666666668</v>
      </c>
      <c r="H305" s="51">
        <f t="shared" si="27"/>
        <v>16.666666666666668</v>
      </c>
      <c r="I305" s="52"/>
      <c r="J305" s="52"/>
      <c r="K305" s="313"/>
      <c r="L305" s="53"/>
      <c r="M305" s="54"/>
      <c r="N305" s="50"/>
    </row>
    <row r="306" spans="2:14" x14ac:dyDescent="0.25">
      <c r="B306" s="367"/>
      <c r="C306" s="48" t="s">
        <v>91</v>
      </c>
      <c r="D306" s="49" t="s">
        <v>92</v>
      </c>
      <c r="E306" s="49">
        <v>1</v>
      </c>
      <c r="F306" s="49">
        <v>2</v>
      </c>
      <c r="G306" s="50">
        <v>12</v>
      </c>
      <c r="H306" s="51">
        <f t="shared" si="27"/>
        <v>24</v>
      </c>
      <c r="I306" s="52"/>
      <c r="J306" s="52"/>
      <c r="K306" s="313"/>
      <c r="L306" s="53"/>
      <c r="M306" s="54"/>
      <c r="N306" s="50"/>
    </row>
    <row r="307" spans="2:14" x14ac:dyDescent="0.25">
      <c r="B307" s="367"/>
      <c r="C307" s="48" t="s">
        <v>29</v>
      </c>
      <c r="D307" s="49" t="s">
        <v>88</v>
      </c>
      <c r="E307" s="49">
        <v>1</v>
      </c>
      <c r="F307" s="49">
        <v>1</v>
      </c>
      <c r="G307" s="50">
        <v>20</v>
      </c>
      <c r="H307" s="51">
        <f t="shared" si="27"/>
        <v>20</v>
      </c>
      <c r="I307" s="52"/>
      <c r="J307" s="52"/>
      <c r="K307" s="313"/>
      <c r="L307" s="53"/>
      <c r="M307" s="54"/>
      <c r="N307" s="50"/>
    </row>
    <row r="308" spans="2:14" x14ac:dyDescent="0.25">
      <c r="B308" s="367"/>
      <c r="C308" s="48" t="s">
        <v>22</v>
      </c>
      <c r="D308" s="49" t="s">
        <v>94</v>
      </c>
      <c r="E308" s="49">
        <v>1</v>
      </c>
      <c r="F308" s="49">
        <v>0</v>
      </c>
      <c r="G308" s="50">
        <v>10</v>
      </c>
      <c r="H308" s="51">
        <f t="shared" si="27"/>
        <v>0</v>
      </c>
      <c r="I308" s="52"/>
      <c r="J308" s="52"/>
      <c r="K308" s="313"/>
      <c r="L308" s="53"/>
      <c r="M308" s="54"/>
      <c r="N308" s="50"/>
    </row>
    <row r="309" spans="2:14" x14ac:dyDescent="0.25">
      <c r="B309" s="367"/>
      <c r="C309" s="315" t="s">
        <v>25</v>
      </c>
      <c r="D309" s="315"/>
      <c r="E309" s="315"/>
      <c r="F309" s="315"/>
      <c r="G309" s="315"/>
      <c r="H309" s="55">
        <f>SUM(H300:H308)</f>
        <v>118.66666666666667</v>
      </c>
      <c r="I309" s="52"/>
      <c r="J309" s="52"/>
      <c r="K309" s="313"/>
      <c r="L309" s="53"/>
      <c r="M309" s="54"/>
      <c r="N309" s="50"/>
    </row>
    <row r="310" spans="2:14" x14ac:dyDescent="0.25">
      <c r="B310" s="367"/>
      <c r="C310" s="368" t="s">
        <v>166</v>
      </c>
      <c r="D310" s="369"/>
      <c r="E310" s="368" t="s">
        <v>99</v>
      </c>
      <c r="F310" s="369"/>
      <c r="G310" s="56">
        <v>1</v>
      </c>
      <c r="H310" s="55">
        <f>ROUNDUP((H309/G310),0)</f>
        <v>119</v>
      </c>
      <c r="I310" s="52"/>
      <c r="J310" s="52"/>
      <c r="K310" s="314"/>
      <c r="L310" s="57"/>
      <c r="M310" s="58"/>
      <c r="N310" s="50"/>
    </row>
    <row r="311" spans="2:14" x14ac:dyDescent="0.25">
      <c r="B311" s="64"/>
      <c r="C311" s="68"/>
      <c r="D311" s="68"/>
      <c r="E311" s="68"/>
      <c r="F311" s="68"/>
      <c r="G311" s="69"/>
      <c r="H311" s="70"/>
      <c r="I311" s="65"/>
      <c r="J311" s="65"/>
      <c r="K311" s="65"/>
      <c r="L311" s="65"/>
      <c r="M311" s="66"/>
      <c r="N311" s="67"/>
    </row>
    <row r="312" spans="2:14" x14ac:dyDescent="0.25">
      <c r="B312" s="327" t="s">
        <v>0</v>
      </c>
      <c r="C312" s="327" t="s">
        <v>19</v>
      </c>
      <c r="D312" s="327" t="s">
        <v>14</v>
      </c>
      <c r="E312" s="329" t="s">
        <v>1</v>
      </c>
      <c r="F312" s="330"/>
      <c r="G312" s="319" t="s">
        <v>20</v>
      </c>
      <c r="H312" s="319" t="s">
        <v>21</v>
      </c>
      <c r="I312" s="321" t="s">
        <v>96</v>
      </c>
      <c r="J312" s="322"/>
      <c r="K312" s="323" t="s">
        <v>84</v>
      </c>
      <c r="L312" s="325" t="s">
        <v>85</v>
      </c>
      <c r="M312" s="326"/>
      <c r="N312" s="46" t="s">
        <v>28</v>
      </c>
    </row>
    <row r="313" spans="2:14" x14ac:dyDescent="0.25">
      <c r="B313" s="328"/>
      <c r="C313" s="328"/>
      <c r="D313" s="328"/>
      <c r="E313" s="59" t="s">
        <v>104</v>
      </c>
      <c r="F313" s="45" t="s">
        <v>103</v>
      </c>
      <c r="G313" s="320"/>
      <c r="H313" s="320"/>
      <c r="I313" s="91" t="s">
        <v>100</v>
      </c>
      <c r="J313" s="92" t="s">
        <v>99</v>
      </c>
      <c r="K313" s="324"/>
      <c r="L313" s="47" t="s">
        <v>101</v>
      </c>
      <c r="M313" s="61" t="s">
        <v>86</v>
      </c>
      <c r="N313" s="46"/>
    </row>
    <row r="314" spans="2:14" x14ac:dyDescent="0.25">
      <c r="B314" s="367" t="s">
        <v>169</v>
      </c>
      <c r="C314" s="48" t="s">
        <v>26</v>
      </c>
      <c r="D314" s="49" t="s">
        <v>92</v>
      </c>
      <c r="E314" s="49">
        <v>2</v>
      </c>
      <c r="F314" s="49">
        <v>1</v>
      </c>
      <c r="G314" s="50">
        <v>17</v>
      </c>
      <c r="H314" s="51">
        <f>G314*E314*F314</f>
        <v>34</v>
      </c>
      <c r="I314" s="52"/>
      <c r="J314" s="52"/>
      <c r="K314" s="312">
        <f>((E314+E315)/2)/8</f>
        <v>0.25</v>
      </c>
      <c r="L314" s="53"/>
      <c r="M314" s="54">
        <f>0.25</f>
        <v>0.25</v>
      </c>
      <c r="N314" s="50"/>
    </row>
    <row r="315" spans="2:14" x14ac:dyDescent="0.25">
      <c r="B315" s="367"/>
      <c r="C315" s="48" t="s">
        <v>27</v>
      </c>
      <c r="D315" s="49" t="s">
        <v>92</v>
      </c>
      <c r="E315" s="49">
        <v>2</v>
      </c>
      <c r="F315" s="49">
        <v>1</v>
      </c>
      <c r="G315" s="50">
        <v>12</v>
      </c>
      <c r="H315" s="51">
        <f t="shared" ref="H315:H322" si="28">G315*E315*F315</f>
        <v>24</v>
      </c>
      <c r="I315" s="52"/>
      <c r="J315" s="52"/>
      <c r="K315" s="313"/>
      <c r="L315" s="44"/>
      <c r="M315" s="60"/>
      <c r="N315" s="50"/>
    </row>
    <row r="316" spans="2:14" x14ac:dyDescent="0.25">
      <c r="B316" s="367"/>
      <c r="C316" s="48"/>
      <c r="D316" s="49"/>
      <c r="E316" s="49"/>
      <c r="F316" s="49"/>
      <c r="G316" s="50"/>
      <c r="H316" s="51">
        <f t="shared" si="28"/>
        <v>0</v>
      </c>
      <c r="I316" s="52"/>
      <c r="J316" s="52"/>
      <c r="K316" s="313"/>
      <c r="L316" s="53"/>
      <c r="M316" s="54"/>
      <c r="N316" s="50"/>
    </row>
    <row r="317" spans="2:14" x14ac:dyDescent="0.25">
      <c r="B317" s="367"/>
      <c r="C317" s="48"/>
      <c r="D317" s="49"/>
      <c r="E317" s="49"/>
      <c r="F317" s="49"/>
      <c r="G317" s="50"/>
      <c r="H317" s="51">
        <f t="shared" si="28"/>
        <v>0</v>
      </c>
      <c r="I317" s="52"/>
      <c r="J317" s="52"/>
      <c r="K317" s="313"/>
      <c r="L317" s="53"/>
      <c r="M317" s="54"/>
      <c r="N317" s="50"/>
    </row>
    <row r="318" spans="2:14" x14ac:dyDescent="0.25">
      <c r="B318" s="367"/>
      <c r="C318" s="48"/>
      <c r="D318" s="49"/>
      <c r="E318" s="49"/>
      <c r="F318" s="49"/>
      <c r="G318" s="50"/>
      <c r="H318" s="51">
        <f t="shared" si="28"/>
        <v>0</v>
      </c>
      <c r="I318" s="52"/>
      <c r="J318" s="52"/>
      <c r="K318" s="313"/>
      <c r="L318" s="53"/>
      <c r="M318" s="54"/>
      <c r="N318" s="50"/>
    </row>
    <row r="319" spans="2:14" x14ac:dyDescent="0.25">
      <c r="B319" s="367"/>
      <c r="C319" s="48" t="s">
        <v>85</v>
      </c>
      <c r="D319" s="49" t="s">
        <v>88</v>
      </c>
      <c r="E319" s="49">
        <f>ROUNDUP((SUM(M314:M324)/300),0)</f>
        <v>1</v>
      </c>
      <c r="F319" s="49">
        <v>1</v>
      </c>
      <c r="G319" s="50">
        <f>200*M314/6</f>
        <v>8.3333333333333339</v>
      </c>
      <c r="H319" s="51">
        <f t="shared" si="28"/>
        <v>8.3333333333333339</v>
      </c>
      <c r="I319" s="52"/>
      <c r="J319" s="52"/>
      <c r="K319" s="313"/>
      <c r="L319" s="53"/>
      <c r="M319" s="54"/>
      <c r="N319" s="50"/>
    </row>
    <row r="320" spans="2:14" x14ac:dyDescent="0.25">
      <c r="B320" s="367"/>
      <c r="C320" s="48" t="s">
        <v>91</v>
      </c>
      <c r="D320" s="49" t="s">
        <v>92</v>
      </c>
      <c r="E320" s="49">
        <v>1</v>
      </c>
      <c r="F320" s="49">
        <v>2</v>
      </c>
      <c r="G320" s="50">
        <v>12</v>
      </c>
      <c r="H320" s="51">
        <f t="shared" si="28"/>
        <v>24</v>
      </c>
      <c r="I320" s="52"/>
      <c r="J320" s="52"/>
      <c r="K320" s="313"/>
      <c r="L320" s="53"/>
      <c r="M320" s="54"/>
      <c r="N320" s="50"/>
    </row>
    <row r="321" spans="2:14" x14ac:dyDescent="0.25">
      <c r="B321" s="367"/>
      <c r="C321" s="48" t="s">
        <v>29</v>
      </c>
      <c r="D321" s="49" t="s">
        <v>88</v>
      </c>
      <c r="E321" s="49">
        <v>1</v>
      </c>
      <c r="F321" s="49">
        <v>0.5</v>
      </c>
      <c r="G321" s="50">
        <v>20</v>
      </c>
      <c r="H321" s="51">
        <f t="shared" si="28"/>
        <v>10</v>
      </c>
      <c r="I321" s="52"/>
      <c r="J321" s="52"/>
      <c r="K321" s="313"/>
      <c r="L321" s="53"/>
      <c r="M321" s="54"/>
      <c r="N321" s="50"/>
    </row>
    <row r="322" spans="2:14" x14ac:dyDescent="0.25">
      <c r="B322" s="367"/>
      <c r="C322" s="48" t="s">
        <v>22</v>
      </c>
      <c r="D322" s="49" t="s">
        <v>94</v>
      </c>
      <c r="E322" s="49">
        <v>1</v>
      </c>
      <c r="F322" s="49">
        <v>0</v>
      </c>
      <c r="G322" s="50">
        <v>10</v>
      </c>
      <c r="H322" s="51">
        <f t="shared" si="28"/>
        <v>0</v>
      </c>
      <c r="I322" s="52"/>
      <c r="J322" s="52"/>
      <c r="K322" s="313"/>
      <c r="L322" s="53"/>
      <c r="M322" s="54"/>
      <c r="N322" s="50"/>
    </row>
    <row r="323" spans="2:14" x14ac:dyDescent="0.25">
      <c r="B323" s="367"/>
      <c r="C323" s="315" t="s">
        <v>25</v>
      </c>
      <c r="D323" s="315"/>
      <c r="E323" s="315"/>
      <c r="F323" s="315"/>
      <c r="G323" s="315"/>
      <c r="H323" s="55">
        <f>SUM(H314:H322)</f>
        <v>100.33333333333333</v>
      </c>
      <c r="I323" s="52"/>
      <c r="J323" s="52"/>
      <c r="K323" s="313"/>
      <c r="L323" s="53"/>
      <c r="M323" s="54"/>
      <c r="N323" s="50"/>
    </row>
    <row r="324" spans="2:14" x14ac:dyDescent="0.25">
      <c r="B324" s="367"/>
      <c r="C324" s="368" t="s">
        <v>166</v>
      </c>
      <c r="D324" s="369"/>
      <c r="E324" s="368" t="s">
        <v>99</v>
      </c>
      <c r="F324" s="369"/>
      <c r="G324" s="56">
        <v>1</v>
      </c>
      <c r="H324" s="55">
        <f>ROUNDUP((H323/G324),0)</f>
        <v>101</v>
      </c>
      <c r="I324" s="52"/>
      <c r="J324" s="52"/>
      <c r="K324" s="314"/>
      <c r="L324" s="57"/>
      <c r="M324" s="58"/>
      <c r="N324" s="50"/>
    </row>
    <row r="325" spans="2:14" x14ac:dyDescent="0.25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</row>
    <row r="326" spans="2:14" x14ac:dyDescent="0.25">
      <c r="B326" s="327" t="s">
        <v>0</v>
      </c>
      <c r="C326" s="327" t="s">
        <v>19</v>
      </c>
      <c r="D326" s="327" t="s">
        <v>14</v>
      </c>
      <c r="E326" s="329" t="s">
        <v>1</v>
      </c>
      <c r="F326" s="330"/>
      <c r="G326" s="319" t="s">
        <v>20</v>
      </c>
      <c r="H326" s="319" t="s">
        <v>21</v>
      </c>
      <c r="I326" s="321" t="s">
        <v>96</v>
      </c>
      <c r="J326" s="322"/>
      <c r="K326" s="323" t="s">
        <v>84</v>
      </c>
      <c r="L326" s="325" t="s">
        <v>85</v>
      </c>
      <c r="M326" s="326"/>
      <c r="N326" s="46" t="s">
        <v>28</v>
      </c>
    </row>
    <row r="327" spans="2:14" x14ac:dyDescent="0.25">
      <c r="B327" s="328"/>
      <c r="C327" s="328"/>
      <c r="D327" s="328"/>
      <c r="E327" s="59" t="s">
        <v>104</v>
      </c>
      <c r="F327" s="45" t="s">
        <v>103</v>
      </c>
      <c r="G327" s="320"/>
      <c r="H327" s="320"/>
      <c r="I327" s="91" t="s">
        <v>100</v>
      </c>
      <c r="J327" s="92" t="s">
        <v>99</v>
      </c>
      <c r="K327" s="324"/>
      <c r="L327" s="47" t="s">
        <v>101</v>
      </c>
      <c r="M327" s="61" t="s">
        <v>86</v>
      </c>
      <c r="N327" s="46"/>
    </row>
    <row r="328" spans="2:14" x14ac:dyDescent="0.25">
      <c r="B328" s="367" t="s">
        <v>170</v>
      </c>
      <c r="C328" s="48" t="s">
        <v>26</v>
      </c>
      <c r="D328" s="49" t="s">
        <v>92</v>
      </c>
      <c r="E328" s="49">
        <v>2</v>
      </c>
      <c r="F328" s="49">
        <v>1</v>
      </c>
      <c r="G328" s="50">
        <v>17</v>
      </c>
      <c r="H328" s="51">
        <f>G328*E328*F328</f>
        <v>34</v>
      </c>
      <c r="I328" s="52"/>
      <c r="J328" s="52"/>
      <c r="K328" s="312">
        <f>((E328+E329)/2)/8</f>
        <v>0.25</v>
      </c>
      <c r="L328" s="53"/>
      <c r="M328" s="54">
        <f>0.25</f>
        <v>0.25</v>
      </c>
      <c r="N328" s="50"/>
    </row>
    <row r="329" spans="2:14" x14ac:dyDescent="0.25">
      <c r="B329" s="367"/>
      <c r="C329" s="48" t="s">
        <v>27</v>
      </c>
      <c r="D329" s="49" t="s">
        <v>92</v>
      </c>
      <c r="E329" s="49">
        <v>2</v>
      </c>
      <c r="F329" s="49">
        <v>0</v>
      </c>
      <c r="G329" s="50">
        <v>12</v>
      </c>
      <c r="H329" s="51">
        <f t="shared" ref="H329:H336" si="29">G329*E329*F329</f>
        <v>0</v>
      </c>
      <c r="I329" s="52"/>
      <c r="J329" s="52"/>
      <c r="K329" s="313"/>
      <c r="L329" s="44"/>
      <c r="M329" s="60"/>
      <c r="N329" s="50"/>
    </row>
    <row r="330" spans="2:14" x14ac:dyDescent="0.25">
      <c r="B330" s="367"/>
      <c r="C330" s="48"/>
      <c r="D330" s="49"/>
      <c r="E330" s="49"/>
      <c r="F330" s="49"/>
      <c r="G330" s="50"/>
      <c r="H330" s="51">
        <f t="shared" si="29"/>
        <v>0</v>
      </c>
      <c r="I330" s="52"/>
      <c r="J330" s="52"/>
      <c r="K330" s="313"/>
      <c r="L330" s="53"/>
      <c r="M330" s="54"/>
      <c r="N330" s="50"/>
    </row>
    <row r="331" spans="2:14" x14ac:dyDescent="0.25">
      <c r="B331" s="367"/>
      <c r="C331" s="48"/>
      <c r="D331" s="49"/>
      <c r="E331" s="49"/>
      <c r="F331" s="49"/>
      <c r="G331" s="50"/>
      <c r="H331" s="51">
        <f t="shared" si="29"/>
        <v>0</v>
      </c>
      <c r="I331" s="52"/>
      <c r="J331" s="52"/>
      <c r="K331" s="313"/>
      <c r="L331" s="53"/>
      <c r="M331" s="54"/>
      <c r="N331" s="50"/>
    </row>
    <row r="332" spans="2:14" x14ac:dyDescent="0.25">
      <c r="B332" s="367"/>
      <c r="C332" s="48"/>
      <c r="D332" s="49"/>
      <c r="E332" s="49"/>
      <c r="F332" s="49"/>
      <c r="G332" s="50"/>
      <c r="H332" s="51">
        <f t="shared" si="29"/>
        <v>0</v>
      </c>
      <c r="I332" s="52"/>
      <c r="J332" s="52"/>
      <c r="K332" s="313"/>
      <c r="L332" s="53"/>
      <c r="M332" s="54"/>
      <c r="N332" s="50"/>
    </row>
    <row r="333" spans="2:14" x14ac:dyDescent="0.25">
      <c r="B333" s="367"/>
      <c r="C333" s="48" t="s">
        <v>85</v>
      </c>
      <c r="D333" s="49" t="s">
        <v>88</v>
      </c>
      <c r="E333" s="49">
        <f>ROUNDUP((SUM(M328:M338)/300),0)</f>
        <v>1</v>
      </c>
      <c r="F333" s="49">
        <v>1</v>
      </c>
      <c r="G333" s="50">
        <f>200*M328/6</f>
        <v>8.3333333333333339</v>
      </c>
      <c r="H333" s="51">
        <f t="shared" si="29"/>
        <v>8.3333333333333339</v>
      </c>
      <c r="I333" s="52"/>
      <c r="J333" s="52"/>
      <c r="K333" s="313"/>
      <c r="L333" s="53"/>
      <c r="M333" s="54"/>
      <c r="N333" s="50"/>
    </row>
    <row r="334" spans="2:14" x14ac:dyDescent="0.25">
      <c r="B334" s="367"/>
      <c r="C334" s="48" t="s">
        <v>91</v>
      </c>
      <c r="D334" s="49" t="s">
        <v>92</v>
      </c>
      <c r="E334" s="49">
        <v>1</v>
      </c>
      <c r="F334" s="49">
        <v>2</v>
      </c>
      <c r="G334" s="50">
        <v>12</v>
      </c>
      <c r="H334" s="51">
        <f t="shared" si="29"/>
        <v>24</v>
      </c>
      <c r="I334" s="52"/>
      <c r="J334" s="52"/>
      <c r="K334" s="313"/>
      <c r="L334" s="53"/>
      <c r="M334" s="54"/>
      <c r="N334" s="50"/>
    </row>
    <row r="335" spans="2:14" x14ac:dyDescent="0.25">
      <c r="B335" s="367"/>
      <c r="C335" s="48" t="s">
        <v>29</v>
      </c>
      <c r="D335" s="49" t="s">
        <v>88</v>
      </c>
      <c r="E335" s="49">
        <v>1</v>
      </c>
      <c r="F335" s="49">
        <v>0.5</v>
      </c>
      <c r="G335" s="50">
        <v>20</v>
      </c>
      <c r="H335" s="51">
        <f t="shared" si="29"/>
        <v>10</v>
      </c>
      <c r="I335" s="52"/>
      <c r="J335" s="52"/>
      <c r="K335" s="313"/>
      <c r="L335" s="53"/>
      <c r="M335" s="54"/>
      <c r="N335" s="50"/>
    </row>
    <row r="336" spans="2:14" x14ac:dyDescent="0.25">
      <c r="B336" s="367"/>
      <c r="C336" s="48" t="s">
        <v>22</v>
      </c>
      <c r="D336" s="49" t="s">
        <v>94</v>
      </c>
      <c r="E336" s="49">
        <v>1</v>
      </c>
      <c r="F336" s="49">
        <v>0</v>
      </c>
      <c r="G336" s="50">
        <v>10</v>
      </c>
      <c r="H336" s="51">
        <f t="shared" si="29"/>
        <v>0</v>
      </c>
      <c r="I336" s="52"/>
      <c r="J336" s="52"/>
      <c r="K336" s="313"/>
      <c r="L336" s="53"/>
      <c r="M336" s="54"/>
      <c r="N336" s="50"/>
    </row>
    <row r="337" spans="2:14" x14ac:dyDescent="0.25">
      <c r="B337" s="367"/>
      <c r="C337" s="315" t="s">
        <v>25</v>
      </c>
      <c r="D337" s="315"/>
      <c r="E337" s="315"/>
      <c r="F337" s="315"/>
      <c r="G337" s="315"/>
      <c r="H337" s="55">
        <f>SUM(H328:H336)</f>
        <v>76.333333333333343</v>
      </c>
      <c r="I337" s="52"/>
      <c r="J337" s="52"/>
      <c r="K337" s="313"/>
      <c r="L337" s="53"/>
      <c r="M337" s="54"/>
      <c r="N337" s="50"/>
    </row>
    <row r="338" spans="2:14" x14ac:dyDescent="0.25">
      <c r="B338" s="367"/>
      <c r="C338" s="368" t="s">
        <v>166</v>
      </c>
      <c r="D338" s="369"/>
      <c r="E338" s="368" t="s">
        <v>99</v>
      </c>
      <c r="F338" s="369"/>
      <c r="G338" s="56">
        <v>1</v>
      </c>
      <c r="H338" s="55">
        <f>ROUNDUP((H337/G338),0)</f>
        <v>77</v>
      </c>
      <c r="I338" s="52"/>
      <c r="J338" s="52"/>
      <c r="K338" s="314"/>
      <c r="L338" s="57"/>
      <c r="M338" s="58"/>
      <c r="N338" s="50"/>
    </row>
    <row r="339" spans="2:14" x14ac:dyDescent="0.25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</row>
    <row r="340" spans="2:14" x14ac:dyDescent="0.25">
      <c r="B340" s="89" t="s">
        <v>171</v>
      </c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</row>
    <row r="341" spans="2:14" x14ac:dyDescent="0.25">
      <c r="B341" s="93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</row>
    <row r="342" spans="2:14" x14ac:dyDescent="0.25">
      <c r="B342" s="327" t="s">
        <v>0</v>
      </c>
      <c r="C342" s="327" t="s">
        <v>19</v>
      </c>
      <c r="D342" s="327" t="s">
        <v>14</v>
      </c>
      <c r="E342" s="329" t="s">
        <v>1</v>
      </c>
      <c r="F342" s="330"/>
      <c r="G342" s="319" t="s">
        <v>20</v>
      </c>
      <c r="H342" s="319" t="s">
        <v>21</v>
      </c>
      <c r="I342" s="321" t="s">
        <v>96</v>
      </c>
      <c r="J342" s="322"/>
      <c r="K342" s="323" t="s">
        <v>84</v>
      </c>
      <c r="L342" s="325" t="s">
        <v>85</v>
      </c>
      <c r="M342" s="326"/>
      <c r="N342" s="46" t="s">
        <v>28</v>
      </c>
    </row>
    <row r="343" spans="2:14" x14ac:dyDescent="0.25">
      <c r="B343" s="328"/>
      <c r="C343" s="328"/>
      <c r="D343" s="328"/>
      <c r="E343" s="59" t="s">
        <v>104</v>
      </c>
      <c r="F343" s="45" t="s">
        <v>103</v>
      </c>
      <c r="G343" s="320"/>
      <c r="H343" s="320"/>
      <c r="I343" s="91" t="s">
        <v>100</v>
      </c>
      <c r="J343" s="92" t="s">
        <v>99</v>
      </c>
      <c r="K343" s="324"/>
      <c r="L343" s="47" t="s">
        <v>101</v>
      </c>
      <c r="M343" s="61" t="s">
        <v>86</v>
      </c>
      <c r="N343" s="46"/>
    </row>
    <row r="344" spans="2:14" x14ac:dyDescent="0.25">
      <c r="B344" s="367" t="s">
        <v>108</v>
      </c>
      <c r="C344" s="48" t="s">
        <v>26</v>
      </c>
      <c r="D344" s="49" t="s">
        <v>92</v>
      </c>
      <c r="E344" s="49">
        <v>24</v>
      </c>
      <c r="F344" s="49">
        <v>1</v>
      </c>
      <c r="G344" s="50">
        <v>17</v>
      </c>
      <c r="H344" s="51">
        <f>G344*E344*F344</f>
        <v>408</v>
      </c>
      <c r="I344" s="52"/>
      <c r="J344" s="52"/>
      <c r="K344" s="312">
        <f>((E344+E345)/2)/8</f>
        <v>3</v>
      </c>
      <c r="L344" s="53"/>
      <c r="M344" s="54"/>
      <c r="N344" s="50"/>
    </row>
    <row r="345" spans="2:14" x14ac:dyDescent="0.25">
      <c r="B345" s="367"/>
      <c r="C345" s="48" t="s">
        <v>27</v>
      </c>
      <c r="D345" s="49" t="s">
        <v>92</v>
      </c>
      <c r="E345" s="49">
        <v>24</v>
      </c>
      <c r="F345" s="49">
        <v>2</v>
      </c>
      <c r="G345" s="50">
        <v>12</v>
      </c>
      <c r="H345" s="51">
        <f t="shared" ref="H345:H352" si="30">G345*E345*F345</f>
        <v>576</v>
      </c>
      <c r="I345" s="52"/>
      <c r="J345" s="52"/>
      <c r="K345" s="313"/>
      <c r="L345" s="44"/>
      <c r="M345" s="60"/>
      <c r="N345" s="50"/>
    </row>
    <row r="346" spans="2:14" ht="30" x14ac:dyDescent="0.25">
      <c r="B346" s="367"/>
      <c r="C346" s="48" t="s">
        <v>106</v>
      </c>
      <c r="D346" s="49" t="s">
        <v>88</v>
      </c>
      <c r="E346" s="49">
        <f>ROUNDUP((SUM(G354*I346*5*1.15)/25),0)</f>
        <v>460</v>
      </c>
      <c r="F346" s="49">
        <v>1</v>
      </c>
      <c r="G346" s="50">
        <v>2.59</v>
      </c>
      <c r="H346" s="51">
        <f t="shared" si="30"/>
        <v>1191.3999999999999</v>
      </c>
      <c r="I346" s="52">
        <v>20</v>
      </c>
      <c r="J346" s="52" t="s">
        <v>87</v>
      </c>
      <c r="K346" s="313"/>
      <c r="L346" s="53"/>
      <c r="M346" s="54"/>
      <c r="N346" s="50"/>
    </row>
    <row r="347" spans="2:14" x14ac:dyDescent="0.25">
      <c r="B347" s="367"/>
      <c r="C347" s="48" t="s">
        <v>105</v>
      </c>
      <c r="D347" s="49" t="s">
        <v>102</v>
      </c>
      <c r="E347" s="49">
        <v>3</v>
      </c>
      <c r="F347" s="49">
        <v>1</v>
      </c>
      <c r="G347" s="50">
        <v>25</v>
      </c>
      <c r="H347" s="51">
        <f t="shared" si="30"/>
        <v>75</v>
      </c>
      <c r="I347" s="52"/>
      <c r="J347" s="52"/>
      <c r="K347" s="313"/>
      <c r="L347" s="53"/>
      <c r="M347" s="54"/>
      <c r="N347" s="50"/>
    </row>
    <row r="348" spans="2:14" x14ac:dyDescent="0.25">
      <c r="B348" s="367"/>
      <c r="C348" s="48"/>
      <c r="D348" s="49"/>
      <c r="E348" s="49"/>
      <c r="F348" s="49"/>
      <c r="G348" s="50"/>
      <c r="H348" s="51">
        <f t="shared" si="30"/>
        <v>0</v>
      </c>
      <c r="I348" s="52"/>
      <c r="J348" s="52"/>
      <c r="K348" s="313"/>
      <c r="L348" s="53"/>
      <c r="M348" s="54"/>
      <c r="N348" s="50"/>
    </row>
    <row r="349" spans="2:14" x14ac:dyDescent="0.25">
      <c r="B349" s="367"/>
      <c r="C349" s="48"/>
      <c r="D349" s="49"/>
      <c r="E349" s="49"/>
      <c r="F349" s="49"/>
      <c r="G349" s="50"/>
      <c r="H349" s="51">
        <f t="shared" si="30"/>
        <v>0</v>
      </c>
      <c r="I349" s="52"/>
      <c r="J349" s="52"/>
      <c r="K349" s="313"/>
      <c r="L349" s="53"/>
      <c r="M349" s="54"/>
      <c r="N349" s="50"/>
    </row>
    <row r="350" spans="2:14" x14ac:dyDescent="0.25">
      <c r="B350" s="367"/>
      <c r="C350" s="48"/>
      <c r="D350" s="49"/>
      <c r="E350" s="49"/>
      <c r="F350" s="49"/>
      <c r="G350" s="50"/>
      <c r="H350" s="51">
        <f t="shared" si="30"/>
        <v>0</v>
      </c>
      <c r="I350" s="52"/>
      <c r="J350" s="52"/>
      <c r="K350" s="313"/>
      <c r="L350" s="53"/>
      <c r="M350" s="54"/>
      <c r="N350" s="50"/>
    </row>
    <row r="351" spans="2:14" x14ac:dyDescent="0.25">
      <c r="B351" s="367"/>
      <c r="C351" s="48" t="s">
        <v>29</v>
      </c>
      <c r="D351" s="49" t="s">
        <v>88</v>
      </c>
      <c r="E351" s="49">
        <v>1</v>
      </c>
      <c r="F351" s="49">
        <v>3</v>
      </c>
      <c r="G351" s="50">
        <v>20</v>
      </c>
      <c r="H351" s="51">
        <f t="shared" si="30"/>
        <v>60</v>
      </c>
      <c r="I351" s="52"/>
      <c r="J351" s="52"/>
      <c r="K351" s="313"/>
      <c r="L351" s="53"/>
      <c r="M351" s="54"/>
      <c r="N351" s="50"/>
    </row>
    <row r="352" spans="2:14" x14ac:dyDescent="0.25">
      <c r="B352" s="367"/>
      <c r="C352" s="48" t="s">
        <v>22</v>
      </c>
      <c r="D352" s="49" t="s">
        <v>94</v>
      </c>
      <c r="E352" s="49">
        <v>1</v>
      </c>
      <c r="F352" s="49">
        <v>1</v>
      </c>
      <c r="G352" s="50">
        <v>50</v>
      </c>
      <c r="H352" s="51">
        <f t="shared" si="30"/>
        <v>50</v>
      </c>
      <c r="I352" s="52"/>
      <c r="J352" s="52"/>
      <c r="K352" s="313"/>
      <c r="L352" s="53"/>
      <c r="M352" s="54"/>
      <c r="N352" s="50"/>
    </row>
    <row r="353" spans="2:14" x14ac:dyDescent="0.25">
      <c r="B353" s="367"/>
      <c r="C353" s="315" t="s">
        <v>25</v>
      </c>
      <c r="D353" s="315"/>
      <c r="E353" s="315"/>
      <c r="F353" s="315"/>
      <c r="G353" s="315"/>
      <c r="H353" s="55">
        <f>SUM(H344:H352)</f>
        <v>2360.3999999999996</v>
      </c>
      <c r="I353" s="52"/>
      <c r="J353" s="52"/>
      <c r="K353" s="313"/>
      <c r="L353" s="53"/>
      <c r="M353" s="54"/>
      <c r="N353" s="50"/>
    </row>
    <row r="354" spans="2:14" x14ac:dyDescent="0.25">
      <c r="B354" s="367"/>
      <c r="C354" s="368" t="s">
        <v>24</v>
      </c>
      <c r="D354" s="369"/>
      <c r="E354" s="368" t="s">
        <v>97</v>
      </c>
      <c r="F354" s="369"/>
      <c r="G354" s="56">
        <v>100</v>
      </c>
      <c r="H354" s="55">
        <f>ROUNDUP((H353/G354),0)</f>
        <v>24</v>
      </c>
      <c r="I354" s="52"/>
      <c r="J354" s="52"/>
      <c r="K354" s="314"/>
      <c r="L354" s="57"/>
      <c r="M354" s="58"/>
      <c r="N354" s="50"/>
    </row>
    <row r="355" spans="2:14" x14ac:dyDescent="0.25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</row>
    <row r="356" spans="2:14" x14ac:dyDescent="0.25">
      <c r="B356" s="327" t="s">
        <v>0</v>
      </c>
      <c r="C356" s="327" t="s">
        <v>19</v>
      </c>
      <c r="D356" s="327" t="s">
        <v>14</v>
      </c>
      <c r="E356" s="329" t="s">
        <v>1</v>
      </c>
      <c r="F356" s="330"/>
      <c r="G356" s="319" t="s">
        <v>20</v>
      </c>
      <c r="H356" s="319" t="s">
        <v>21</v>
      </c>
      <c r="I356" s="321" t="s">
        <v>96</v>
      </c>
      <c r="J356" s="322"/>
      <c r="K356" s="323" t="s">
        <v>84</v>
      </c>
      <c r="L356" s="325" t="s">
        <v>85</v>
      </c>
      <c r="M356" s="326"/>
      <c r="N356" s="46" t="s">
        <v>28</v>
      </c>
    </row>
    <row r="357" spans="2:14" x14ac:dyDescent="0.25">
      <c r="B357" s="328"/>
      <c r="C357" s="328"/>
      <c r="D357" s="328"/>
      <c r="E357" s="59" t="s">
        <v>104</v>
      </c>
      <c r="F357" s="45" t="s">
        <v>103</v>
      </c>
      <c r="G357" s="320"/>
      <c r="H357" s="320"/>
      <c r="I357" s="91" t="s">
        <v>100</v>
      </c>
      <c r="J357" s="92" t="s">
        <v>99</v>
      </c>
      <c r="K357" s="324"/>
      <c r="L357" s="47" t="s">
        <v>101</v>
      </c>
      <c r="M357" s="61" t="s">
        <v>86</v>
      </c>
      <c r="N357" s="46"/>
    </row>
    <row r="358" spans="2:14" x14ac:dyDescent="0.25">
      <c r="B358" s="367" t="s">
        <v>174</v>
      </c>
      <c r="C358" s="48" t="s">
        <v>26</v>
      </c>
      <c r="D358" s="49" t="s">
        <v>92</v>
      </c>
      <c r="E358" s="49">
        <v>8</v>
      </c>
      <c r="F358" s="49">
        <v>1</v>
      </c>
      <c r="G358" s="50">
        <v>17</v>
      </c>
      <c r="H358" s="51">
        <f>G358*E358*F358</f>
        <v>136</v>
      </c>
      <c r="I358" s="52">
        <f>$G$368/(1*8*$K$358)</f>
        <v>1.25</v>
      </c>
      <c r="J358" s="52" t="s">
        <v>98</v>
      </c>
      <c r="K358" s="312">
        <f>((E358+E359)/2)/8</f>
        <v>1</v>
      </c>
      <c r="L358" s="53"/>
      <c r="M358" s="54"/>
      <c r="N358" s="50"/>
    </row>
    <row r="359" spans="2:14" x14ac:dyDescent="0.25">
      <c r="B359" s="367"/>
      <c r="C359" s="48" t="s">
        <v>27</v>
      </c>
      <c r="D359" s="49" t="s">
        <v>92</v>
      </c>
      <c r="E359" s="49">
        <v>8</v>
      </c>
      <c r="F359" s="49">
        <v>1</v>
      </c>
      <c r="G359" s="50">
        <v>12</v>
      </c>
      <c r="H359" s="51">
        <f t="shared" ref="H359:H361" si="31">G359*E359*F359</f>
        <v>96</v>
      </c>
      <c r="I359" s="52">
        <f>$G$368/(1*8*$K$358)</f>
        <v>1.25</v>
      </c>
      <c r="J359" s="52" t="s">
        <v>98</v>
      </c>
      <c r="K359" s="313"/>
      <c r="L359" s="44"/>
      <c r="M359" s="60"/>
      <c r="N359" s="50"/>
    </row>
    <row r="360" spans="2:14" x14ac:dyDescent="0.25">
      <c r="B360" s="367"/>
      <c r="C360" s="48" t="s">
        <v>142</v>
      </c>
      <c r="D360" s="49" t="s">
        <v>88</v>
      </c>
      <c r="E360" s="49">
        <f>ROUNDUP((G368/(0.3*0.2)*1.05),0)</f>
        <v>175</v>
      </c>
      <c r="F360" s="49">
        <v>1</v>
      </c>
      <c r="G360" s="50">
        <v>0.35</v>
      </c>
      <c r="H360" s="51">
        <f t="shared" si="31"/>
        <v>61.249999999999993</v>
      </c>
      <c r="I360" s="52"/>
      <c r="J360" s="52"/>
      <c r="K360" s="313"/>
      <c r="L360" s="53"/>
      <c r="M360" s="54"/>
      <c r="N360" s="50"/>
    </row>
    <row r="361" spans="2:14" x14ac:dyDescent="0.25">
      <c r="B361" s="367"/>
      <c r="C361" s="48" t="s">
        <v>143</v>
      </c>
      <c r="D361" s="49" t="s">
        <v>88</v>
      </c>
      <c r="E361" s="90">
        <f>((((G368-(18*0.11*0.2))*0.02)*1000)/25)*1.35</f>
        <v>10.37232</v>
      </c>
      <c r="F361" s="49">
        <v>1</v>
      </c>
      <c r="G361" s="50">
        <v>2.3199999999999998</v>
      </c>
      <c r="H361" s="51">
        <f t="shared" si="31"/>
        <v>24.063782399999997</v>
      </c>
      <c r="I361" s="52"/>
      <c r="J361" s="52"/>
      <c r="K361" s="313"/>
      <c r="L361" s="53"/>
      <c r="M361" s="54"/>
      <c r="N361" s="50"/>
    </row>
    <row r="362" spans="2:14" ht="30" x14ac:dyDescent="0.25">
      <c r="B362" s="367"/>
      <c r="C362" s="48" t="s">
        <v>124</v>
      </c>
      <c r="D362" s="49" t="s">
        <v>102</v>
      </c>
      <c r="E362" s="49">
        <v>1</v>
      </c>
      <c r="F362" s="49">
        <v>1</v>
      </c>
      <c r="G362" s="50">
        <f>1950/365</f>
        <v>5.3424657534246576</v>
      </c>
      <c r="H362" s="51">
        <f t="shared" ref="H362:H366" si="32">G362*E362*F362</f>
        <v>5.3424657534246576</v>
      </c>
      <c r="I362" s="52"/>
      <c r="J362" s="52"/>
      <c r="K362" s="313"/>
      <c r="L362" s="53"/>
      <c r="M362" s="54"/>
      <c r="N362" s="50"/>
    </row>
    <row r="363" spans="2:14" ht="30" x14ac:dyDescent="0.25">
      <c r="B363" s="367"/>
      <c r="C363" s="48" t="s">
        <v>172</v>
      </c>
      <c r="D363" s="49" t="s">
        <v>173</v>
      </c>
      <c r="E363" s="49">
        <v>2</v>
      </c>
      <c r="F363" s="49">
        <v>1.71</v>
      </c>
      <c r="G363" s="50">
        <f>1950/365</f>
        <v>5.3424657534246576</v>
      </c>
      <c r="H363" s="51">
        <f t="shared" ref="H363" si="33">G363*E363*F363</f>
        <v>18.271232876712329</v>
      </c>
      <c r="I363" s="52"/>
      <c r="J363" s="52"/>
      <c r="K363" s="313"/>
      <c r="L363" s="53"/>
      <c r="M363" s="54"/>
      <c r="N363" s="50"/>
    </row>
    <row r="364" spans="2:14" x14ac:dyDescent="0.25">
      <c r="B364" s="367"/>
      <c r="C364" s="48"/>
      <c r="D364" s="49"/>
      <c r="E364" s="49"/>
      <c r="F364" s="49"/>
      <c r="G364" s="50"/>
      <c r="H364" s="51">
        <f t="shared" si="32"/>
        <v>0</v>
      </c>
      <c r="I364" s="52"/>
      <c r="J364" s="52"/>
      <c r="K364" s="313"/>
      <c r="L364" s="53"/>
      <c r="M364" s="54"/>
      <c r="N364" s="50"/>
    </row>
    <row r="365" spans="2:14" x14ac:dyDescent="0.25">
      <c r="B365" s="367"/>
      <c r="C365" s="48" t="s">
        <v>29</v>
      </c>
      <c r="D365" s="49" t="s">
        <v>88</v>
      </c>
      <c r="E365" s="49">
        <v>1</v>
      </c>
      <c r="F365" s="49">
        <v>1</v>
      </c>
      <c r="G365" s="50">
        <v>20</v>
      </c>
      <c r="H365" s="51">
        <f t="shared" si="32"/>
        <v>20</v>
      </c>
      <c r="I365" s="52"/>
      <c r="J365" s="52"/>
      <c r="K365" s="313"/>
      <c r="L365" s="53"/>
      <c r="M365" s="54"/>
      <c r="N365" s="50"/>
    </row>
    <row r="366" spans="2:14" x14ac:dyDescent="0.25">
      <c r="B366" s="367"/>
      <c r="C366" s="48" t="s">
        <v>22</v>
      </c>
      <c r="D366" s="49" t="s">
        <v>94</v>
      </c>
      <c r="E366" s="49">
        <v>1</v>
      </c>
      <c r="F366" s="49">
        <v>0</v>
      </c>
      <c r="G366" s="50">
        <v>10</v>
      </c>
      <c r="H366" s="51">
        <f t="shared" si="32"/>
        <v>0</v>
      </c>
      <c r="I366" s="52"/>
      <c r="J366" s="52"/>
      <c r="K366" s="313"/>
      <c r="L366" s="53"/>
      <c r="M366" s="54"/>
      <c r="N366" s="50"/>
    </row>
    <row r="367" spans="2:14" x14ac:dyDescent="0.25">
      <c r="B367" s="367"/>
      <c r="C367" s="315" t="s">
        <v>25</v>
      </c>
      <c r="D367" s="315"/>
      <c r="E367" s="315"/>
      <c r="F367" s="315"/>
      <c r="G367" s="315"/>
      <c r="H367" s="55">
        <f>SUM(H358:H366)</f>
        <v>360.92748103013696</v>
      </c>
      <c r="I367" s="52"/>
      <c r="J367" s="52"/>
      <c r="K367" s="313"/>
      <c r="L367" s="53"/>
      <c r="M367" s="54"/>
      <c r="N367" s="50"/>
    </row>
    <row r="368" spans="2:14" x14ac:dyDescent="0.25">
      <c r="B368" s="367"/>
      <c r="C368" s="368" t="s">
        <v>24</v>
      </c>
      <c r="D368" s="369"/>
      <c r="E368" s="368" t="s">
        <v>97</v>
      </c>
      <c r="F368" s="369"/>
      <c r="G368" s="56">
        <v>10</v>
      </c>
      <c r="H368" s="55">
        <f>ROUNDUP((H367/G368),0)</f>
        <v>37</v>
      </c>
      <c r="I368" s="52"/>
      <c r="J368" s="52"/>
      <c r="K368" s="314"/>
      <c r="L368" s="57"/>
      <c r="M368" s="58"/>
      <c r="N368" s="50"/>
    </row>
    <row r="369" spans="2:14" x14ac:dyDescent="0.25">
      <c r="B369" s="44"/>
      <c r="C369" s="44"/>
      <c r="D369" s="44"/>
      <c r="E369" s="44"/>
      <c r="F369" s="44"/>
      <c r="G369" s="44"/>
      <c r="H369" s="71"/>
      <c r="I369" s="44"/>
      <c r="J369" s="44"/>
      <c r="K369" s="44"/>
      <c r="L369" s="44"/>
      <c r="M369" s="44"/>
      <c r="N369" s="44"/>
    </row>
    <row r="370" spans="2:14" x14ac:dyDescent="0.25">
      <c r="B370" s="327" t="s">
        <v>0</v>
      </c>
      <c r="C370" s="327" t="s">
        <v>19</v>
      </c>
      <c r="D370" s="327" t="s">
        <v>14</v>
      </c>
      <c r="E370" s="329" t="s">
        <v>1</v>
      </c>
      <c r="F370" s="330"/>
      <c r="G370" s="319" t="s">
        <v>20</v>
      </c>
      <c r="H370" s="319" t="s">
        <v>21</v>
      </c>
      <c r="I370" s="321" t="s">
        <v>96</v>
      </c>
      <c r="J370" s="322"/>
      <c r="K370" s="323" t="s">
        <v>84</v>
      </c>
      <c r="L370" s="325" t="s">
        <v>85</v>
      </c>
      <c r="M370" s="326"/>
      <c r="N370" s="46" t="s">
        <v>28</v>
      </c>
    </row>
    <row r="371" spans="2:14" x14ac:dyDescent="0.25">
      <c r="B371" s="328"/>
      <c r="C371" s="328"/>
      <c r="D371" s="328"/>
      <c r="E371" s="59" t="s">
        <v>104</v>
      </c>
      <c r="F371" s="45" t="s">
        <v>103</v>
      </c>
      <c r="G371" s="320"/>
      <c r="H371" s="320"/>
      <c r="I371" s="91" t="s">
        <v>100</v>
      </c>
      <c r="J371" s="92" t="s">
        <v>99</v>
      </c>
      <c r="K371" s="324"/>
      <c r="L371" s="47" t="s">
        <v>101</v>
      </c>
      <c r="M371" s="61" t="s">
        <v>86</v>
      </c>
      <c r="N371" s="46"/>
    </row>
    <row r="372" spans="2:14" x14ac:dyDescent="0.25">
      <c r="B372" s="367" t="s">
        <v>175</v>
      </c>
      <c r="C372" s="48" t="s">
        <v>26</v>
      </c>
      <c r="D372" s="49" t="s">
        <v>92</v>
      </c>
      <c r="E372" s="49">
        <v>8</v>
      </c>
      <c r="F372" s="49">
        <v>1</v>
      </c>
      <c r="G372" s="50">
        <v>17</v>
      </c>
      <c r="H372" s="51">
        <f>G372*E372*F372</f>
        <v>136</v>
      </c>
      <c r="I372" s="52">
        <f>$G$368/(1*8*$K$358)</f>
        <v>1.25</v>
      </c>
      <c r="J372" s="52" t="s">
        <v>98</v>
      </c>
      <c r="K372" s="312">
        <f>((E372+E373)/2)/8</f>
        <v>1</v>
      </c>
      <c r="L372" s="53"/>
      <c r="M372" s="54"/>
      <c r="N372" s="50"/>
    </row>
    <row r="373" spans="2:14" x14ac:dyDescent="0.25">
      <c r="B373" s="367"/>
      <c r="C373" s="48" t="s">
        <v>27</v>
      </c>
      <c r="D373" s="49" t="s">
        <v>92</v>
      </c>
      <c r="E373" s="49">
        <v>8</v>
      </c>
      <c r="F373" s="49">
        <v>1</v>
      </c>
      <c r="G373" s="50">
        <v>12</v>
      </c>
      <c r="H373" s="51">
        <f t="shared" ref="H373:H380" si="34">G373*E373*F373</f>
        <v>96</v>
      </c>
      <c r="I373" s="52">
        <f>$G$368/(1*16*$K$358)</f>
        <v>0.625</v>
      </c>
      <c r="J373" s="52" t="s">
        <v>98</v>
      </c>
      <c r="K373" s="313"/>
      <c r="L373" s="44"/>
      <c r="M373" s="60"/>
      <c r="N373" s="50"/>
    </row>
    <row r="374" spans="2:14" x14ac:dyDescent="0.25">
      <c r="B374" s="367"/>
      <c r="C374" s="48" t="s">
        <v>144</v>
      </c>
      <c r="D374" s="49" t="s">
        <v>88</v>
      </c>
      <c r="E374" s="49">
        <f>ROUNDUP((G382/(0.5*0.2)*1.1),0)</f>
        <v>110</v>
      </c>
      <c r="F374" s="49">
        <v>1</v>
      </c>
      <c r="G374" s="50">
        <v>0.85</v>
      </c>
      <c r="H374" s="51">
        <f t="shared" si="34"/>
        <v>93.5</v>
      </c>
      <c r="I374" s="52"/>
      <c r="J374" s="52"/>
      <c r="K374" s="313"/>
      <c r="L374" s="53"/>
      <c r="M374" s="54"/>
      <c r="N374" s="50"/>
    </row>
    <row r="375" spans="2:14" x14ac:dyDescent="0.25">
      <c r="B375" s="367"/>
      <c r="C375" s="48" t="s">
        <v>143</v>
      </c>
      <c r="D375" s="49" t="s">
        <v>88</v>
      </c>
      <c r="E375" s="49">
        <v>10</v>
      </c>
      <c r="F375" s="49">
        <v>1</v>
      </c>
      <c r="G375" s="50">
        <v>2.3199999999999998</v>
      </c>
      <c r="H375" s="51">
        <f t="shared" si="34"/>
        <v>23.2</v>
      </c>
      <c r="I375" s="52"/>
      <c r="J375" s="52"/>
      <c r="K375" s="313"/>
      <c r="L375" s="53"/>
      <c r="M375" s="54"/>
      <c r="N375" s="50"/>
    </row>
    <row r="376" spans="2:14" ht="30" x14ac:dyDescent="0.25">
      <c r="B376" s="367"/>
      <c r="C376" s="48" t="s">
        <v>124</v>
      </c>
      <c r="D376" s="49" t="s">
        <v>102</v>
      </c>
      <c r="E376" s="49">
        <v>1</v>
      </c>
      <c r="F376" s="49">
        <v>1</v>
      </c>
      <c r="G376" s="50">
        <f>1950/365</f>
        <v>5.3424657534246576</v>
      </c>
      <c r="H376" s="51">
        <f t="shared" si="34"/>
        <v>5.3424657534246576</v>
      </c>
      <c r="I376" s="52"/>
      <c r="J376" s="52"/>
      <c r="K376" s="313"/>
      <c r="L376" s="53"/>
      <c r="M376" s="54"/>
      <c r="N376" s="50"/>
    </row>
    <row r="377" spans="2:14" ht="30" x14ac:dyDescent="0.25">
      <c r="B377" s="367"/>
      <c r="C377" s="48" t="s">
        <v>172</v>
      </c>
      <c r="D377" s="49" t="s">
        <v>173</v>
      </c>
      <c r="E377" s="49">
        <v>4</v>
      </c>
      <c r="F377" s="49">
        <v>1.71</v>
      </c>
      <c r="G377" s="50">
        <f>1950/365</f>
        <v>5.3424657534246576</v>
      </c>
      <c r="H377" s="51">
        <f t="shared" si="34"/>
        <v>36.542465753424658</v>
      </c>
      <c r="I377" s="52"/>
      <c r="J377" s="52"/>
      <c r="K377" s="313"/>
      <c r="L377" s="53"/>
      <c r="M377" s="54"/>
      <c r="N377" s="50"/>
    </row>
    <row r="378" spans="2:14" x14ac:dyDescent="0.25">
      <c r="B378" s="367"/>
      <c r="C378" s="48"/>
      <c r="D378" s="49"/>
      <c r="E378" s="49"/>
      <c r="F378" s="49"/>
      <c r="G378" s="50"/>
      <c r="H378" s="51">
        <f t="shared" si="34"/>
        <v>0</v>
      </c>
      <c r="I378" s="52"/>
      <c r="J378" s="52"/>
      <c r="K378" s="313"/>
      <c r="L378" s="53"/>
      <c r="M378" s="54"/>
      <c r="N378" s="50"/>
    </row>
    <row r="379" spans="2:14" x14ac:dyDescent="0.25">
      <c r="B379" s="367"/>
      <c r="C379" s="48" t="s">
        <v>29</v>
      </c>
      <c r="D379" s="49" t="s">
        <v>88</v>
      </c>
      <c r="E379" s="49">
        <v>1</v>
      </c>
      <c r="F379" s="49">
        <v>1</v>
      </c>
      <c r="G379" s="50">
        <v>20</v>
      </c>
      <c r="H379" s="51">
        <f t="shared" si="34"/>
        <v>20</v>
      </c>
      <c r="I379" s="52"/>
      <c r="J379" s="52"/>
      <c r="K379" s="313"/>
      <c r="L379" s="53"/>
      <c r="M379" s="54"/>
      <c r="N379" s="50"/>
    </row>
    <row r="380" spans="2:14" x14ac:dyDescent="0.25">
      <c r="B380" s="367"/>
      <c r="C380" s="48" t="s">
        <v>22</v>
      </c>
      <c r="D380" s="49" t="s">
        <v>94</v>
      </c>
      <c r="E380" s="49">
        <v>1</v>
      </c>
      <c r="F380" s="49">
        <v>0</v>
      </c>
      <c r="G380" s="50">
        <v>10</v>
      </c>
      <c r="H380" s="51">
        <f t="shared" si="34"/>
        <v>0</v>
      </c>
      <c r="I380" s="52"/>
      <c r="J380" s="52"/>
      <c r="K380" s="313"/>
      <c r="L380" s="53"/>
      <c r="M380" s="54"/>
      <c r="N380" s="50"/>
    </row>
    <row r="381" spans="2:14" x14ac:dyDescent="0.25">
      <c r="B381" s="367"/>
      <c r="C381" s="315" t="s">
        <v>25</v>
      </c>
      <c r="D381" s="315"/>
      <c r="E381" s="315"/>
      <c r="F381" s="315"/>
      <c r="G381" s="315"/>
      <c r="H381" s="55">
        <f>SUM(H372:H380)</f>
        <v>410.58493150684933</v>
      </c>
      <c r="I381" s="52"/>
      <c r="J381" s="52"/>
      <c r="K381" s="313"/>
      <c r="L381" s="53"/>
      <c r="M381" s="54"/>
      <c r="N381" s="50"/>
    </row>
    <row r="382" spans="2:14" x14ac:dyDescent="0.25">
      <c r="B382" s="367"/>
      <c r="C382" s="368" t="s">
        <v>24</v>
      </c>
      <c r="D382" s="369"/>
      <c r="E382" s="368" t="s">
        <v>97</v>
      </c>
      <c r="F382" s="369"/>
      <c r="G382" s="56">
        <v>10</v>
      </c>
      <c r="H382" s="55">
        <f>ROUNDUP((H381/G382),0)</f>
        <v>42</v>
      </c>
      <c r="I382" s="52"/>
      <c r="J382" s="52"/>
      <c r="K382" s="314"/>
      <c r="L382" s="57"/>
      <c r="M382" s="58"/>
      <c r="N382" s="50"/>
    </row>
    <row r="383" spans="2:14" x14ac:dyDescent="0.25">
      <c r="B383" s="64"/>
      <c r="C383" s="68"/>
      <c r="D383" s="68"/>
      <c r="E383" s="68"/>
      <c r="F383" s="68"/>
      <c r="G383" s="69"/>
      <c r="H383" s="70"/>
      <c r="I383" s="65"/>
      <c r="J383" s="65"/>
      <c r="K383" s="65"/>
      <c r="L383" s="65"/>
      <c r="M383" s="66"/>
      <c r="N383" s="67"/>
    </row>
    <row r="384" spans="2:14" x14ac:dyDescent="0.25">
      <c r="B384" s="327" t="s">
        <v>0</v>
      </c>
      <c r="C384" s="327" t="s">
        <v>19</v>
      </c>
      <c r="D384" s="327" t="s">
        <v>14</v>
      </c>
      <c r="E384" s="329" t="s">
        <v>1</v>
      </c>
      <c r="F384" s="330"/>
      <c r="G384" s="319" t="s">
        <v>20</v>
      </c>
      <c r="H384" s="319" t="s">
        <v>21</v>
      </c>
      <c r="I384" s="321" t="s">
        <v>96</v>
      </c>
      <c r="J384" s="322"/>
      <c r="K384" s="323" t="s">
        <v>84</v>
      </c>
      <c r="L384" s="325" t="s">
        <v>85</v>
      </c>
      <c r="M384" s="326"/>
      <c r="N384" s="46" t="s">
        <v>28</v>
      </c>
    </row>
    <row r="385" spans="2:14" x14ac:dyDescent="0.25">
      <c r="B385" s="328"/>
      <c r="C385" s="328"/>
      <c r="D385" s="328"/>
      <c r="E385" s="59" t="s">
        <v>104</v>
      </c>
      <c r="F385" s="45" t="s">
        <v>103</v>
      </c>
      <c r="G385" s="320"/>
      <c r="H385" s="320"/>
      <c r="I385" s="91" t="s">
        <v>100</v>
      </c>
      <c r="J385" s="92" t="s">
        <v>99</v>
      </c>
      <c r="K385" s="324"/>
      <c r="L385" s="47" t="s">
        <v>101</v>
      </c>
      <c r="M385" s="61" t="s">
        <v>86</v>
      </c>
      <c r="N385" s="46"/>
    </row>
    <row r="386" spans="2:14" x14ac:dyDescent="0.25">
      <c r="B386" s="367" t="s">
        <v>145</v>
      </c>
      <c r="C386" s="48" t="s">
        <v>26</v>
      </c>
      <c r="D386" s="49" t="s">
        <v>92</v>
      </c>
      <c r="E386" s="49">
        <v>24</v>
      </c>
      <c r="F386" s="49">
        <v>1</v>
      </c>
      <c r="G386" s="50">
        <v>17</v>
      </c>
      <c r="H386" s="51">
        <f>G386*E386*F386</f>
        <v>408</v>
      </c>
      <c r="I386" s="52">
        <f>G396/(1*14*K386)</f>
        <v>2.3809523809523809</v>
      </c>
      <c r="J386" s="52" t="s">
        <v>98</v>
      </c>
      <c r="K386" s="312">
        <f>((E386+E387)/2)/8</f>
        <v>3</v>
      </c>
      <c r="L386" s="53"/>
      <c r="M386" s="54">
        <f>(G396*0.02*2)*0.1</f>
        <v>0.4</v>
      </c>
      <c r="N386" s="50"/>
    </row>
    <row r="387" spans="2:14" x14ac:dyDescent="0.25">
      <c r="B387" s="367"/>
      <c r="C387" s="48" t="s">
        <v>27</v>
      </c>
      <c r="D387" s="49" t="s">
        <v>92</v>
      </c>
      <c r="E387" s="49">
        <v>24</v>
      </c>
      <c r="F387" s="49">
        <v>1</v>
      </c>
      <c r="G387" s="50">
        <v>12</v>
      </c>
      <c r="H387" s="51">
        <f t="shared" ref="H387:H394" si="35">G387*E387*F387</f>
        <v>288</v>
      </c>
      <c r="I387" s="52">
        <f>G396/(1*18*K386)</f>
        <v>1.8518518518518519</v>
      </c>
      <c r="J387" s="52" t="s">
        <v>98</v>
      </c>
      <c r="K387" s="313"/>
      <c r="L387" s="44"/>
      <c r="M387" s="60"/>
      <c r="N387" s="50"/>
    </row>
    <row r="388" spans="2:14" ht="30" x14ac:dyDescent="0.25">
      <c r="B388" s="367"/>
      <c r="C388" s="48" t="s">
        <v>146</v>
      </c>
      <c r="D388" s="49" t="s">
        <v>88</v>
      </c>
      <c r="E388" s="49">
        <f>ROUNDUP((G396*2*I388/(25)*1.05),0)</f>
        <v>168</v>
      </c>
      <c r="F388" s="49">
        <v>1</v>
      </c>
      <c r="G388" s="50">
        <v>2.99</v>
      </c>
      <c r="H388" s="51">
        <f>G388*E388*F388</f>
        <v>502.32000000000005</v>
      </c>
      <c r="I388" s="52">
        <v>20</v>
      </c>
      <c r="J388" s="52" t="s">
        <v>87</v>
      </c>
      <c r="K388" s="313"/>
      <c r="L388" s="53"/>
      <c r="M388" s="54"/>
      <c r="N388" s="50"/>
    </row>
    <row r="389" spans="2:14" ht="30" x14ac:dyDescent="0.25">
      <c r="B389" s="367"/>
      <c r="C389" s="48" t="s">
        <v>124</v>
      </c>
      <c r="D389" s="49" t="s">
        <v>102</v>
      </c>
      <c r="E389" s="49">
        <v>3</v>
      </c>
      <c r="F389" s="49">
        <v>1</v>
      </c>
      <c r="G389" s="50">
        <f>1950/365</f>
        <v>5.3424657534246576</v>
      </c>
      <c r="H389" s="51">
        <f>G389*E389*F389</f>
        <v>16.027397260273972</v>
      </c>
      <c r="I389" s="52"/>
      <c r="J389" s="52"/>
      <c r="K389" s="313"/>
      <c r="L389" s="53"/>
      <c r="M389" s="54"/>
      <c r="N389" s="50"/>
    </row>
    <row r="390" spans="2:14" x14ac:dyDescent="0.25">
      <c r="B390" s="367"/>
      <c r="C390" s="48"/>
      <c r="D390" s="49"/>
      <c r="E390" s="49"/>
      <c r="F390" s="49"/>
      <c r="G390" s="50"/>
      <c r="H390" s="51">
        <f t="shared" ref="H390" si="36">G390*E390*F390</f>
        <v>0</v>
      </c>
      <c r="I390" s="52"/>
      <c r="J390" s="52"/>
      <c r="K390" s="313"/>
      <c r="L390" s="53"/>
      <c r="M390" s="54"/>
      <c r="N390" s="50"/>
    </row>
    <row r="391" spans="2:14" x14ac:dyDescent="0.25">
      <c r="B391" s="367"/>
      <c r="C391" s="48"/>
      <c r="D391" s="49"/>
      <c r="E391" s="49"/>
      <c r="F391" s="49"/>
      <c r="G391" s="50"/>
      <c r="H391" s="51">
        <f t="shared" si="35"/>
        <v>0</v>
      </c>
      <c r="I391" s="52"/>
      <c r="J391" s="52"/>
      <c r="K391" s="313"/>
      <c r="L391" s="53"/>
      <c r="M391" s="54"/>
      <c r="N391" s="50"/>
    </row>
    <row r="392" spans="2:14" x14ac:dyDescent="0.25">
      <c r="B392" s="367"/>
      <c r="C392" s="48" t="s">
        <v>85</v>
      </c>
      <c r="D392" s="49" t="s">
        <v>88</v>
      </c>
      <c r="E392" s="49">
        <f>ROUNDUP((SUM(M386:M396)/300),0)</f>
        <v>1</v>
      </c>
      <c r="F392" s="49">
        <v>1</v>
      </c>
      <c r="G392" s="50">
        <f>200*M386/6</f>
        <v>13.333333333333334</v>
      </c>
      <c r="H392" s="51">
        <f t="shared" si="35"/>
        <v>13.333333333333334</v>
      </c>
      <c r="I392" s="52"/>
      <c r="J392" s="52"/>
      <c r="K392" s="313"/>
      <c r="L392" s="53"/>
      <c r="M392" s="54"/>
      <c r="N392" s="50"/>
    </row>
    <row r="393" spans="2:14" x14ac:dyDescent="0.25">
      <c r="B393" s="367"/>
      <c r="C393" s="48" t="s">
        <v>29</v>
      </c>
      <c r="D393" s="49" t="s">
        <v>88</v>
      </c>
      <c r="E393" s="49">
        <v>3</v>
      </c>
      <c r="F393" s="49">
        <v>1</v>
      </c>
      <c r="G393" s="50">
        <v>20</v>
      </c>
      <c r="H393" s="51">
        <f t="shared" si="35"/>
        <v>60</v>
      </c>
      <c r="I393" s="52"/>
      <c r="J393" s="52"/>
      <c r="K393" s="313"/>
      <c r="L393" s="53"/>
      <c r="M393" s="54"/>
      <c r="N393" s="50"/>
    </row>
    <row r="394" spans="2:14" x14ac:dyDescent="0.25">
      <c r="B394" s="367"/>
      <c r="C394" s="48" t="s">
        <v>22</v>
      </c>
      <c r="D394" s="49" t="s">
        <v>94</v>
      </c>
      <c r="E394" s="49">
        <v>1</v>
      </c>
      <c r="F394" s="49">
        <v>1</v>
      </c>
      <c r="G394" s="50">
        <v>10</v>
      </c>
      <c r="H394" s="51">
        <f t="shared" si="35"/>
        <v>10</v>
      </c>
      <c r="I394" s="52"/>
      <c r="J394" s="52"/>
      <c r="K394" s="313"/>
      <c r="L394" s="53"/>
      <c r="M394" s="54"/>
      <c r="N394" s="50"/>
    </row>
    <row r="395" spans="2:14" x14ac:dyDescent="0.25">
      <c r="B395" s="367"/>
      <c r="C395" s="315" t="s">
        <v>25</v>
      </c>
      <c r="D395" s="315"/>
      <c r="E395" s="315"/>
      <c r="F395" s="315"/>
      <c r="G395" s="315"/>
      <c r="H395" s="55">
        <f>SUM(H386:H394)</f>
        <v>1297.6807305936074</v>
      </c>
      <c r="I395" s="52"/>
      <c r="J395" s="52"/>
      <c r="K395" s="313"/>
      <c r="L395" s="53"/>
      <c r="M395" s="54"/>
      <c r="N395" s="50"/>
    </row>
    <row r="396" spans="2:14" x14ac:dyDescent="0.25">
      <c r="B396" s="367"/>
      <c r="C396" s="368" t="s">
        <v>24</v>
      </c>
      <c r="D396" s="369"/>
      <c r="E396" s="368" t="s">
        <v>97</v>
      </c>
      <c r="F396" s="369"/>
      <c r="G396" s="56">
        <v>100</v>
      </c>
      <c r="H396" s="55">
        <f>ROUNDUP((H395/G396),0)</f>
        <v>13</v>
      </c>
      <c r="I396" s="52"/>
      <c r="J396" s="52"/>
      <c r="K396" s="314"/>
      <c r="L396" s="57"/>
      <c r="M396" s="58"/>
      <c r="N396" s="50"/>
    </row>
    <row r="397" spans="2:14" x14ac:dyDescent="0.25">
      <c r="B397" s="64"/>
      <c r="C397" s="68"/>
      <c r="D397" s="68"/>
      <c r="E397" s="68"/>
      <c r="F397" s="68"/>
      <c r="G397" s="69"/>
      <c r="H397" s="70"/>
      <c r="I397" s="65"/>
      <c r="J397" s="65"/>
      <c r="K397" s="65"/>
      <c r="L397" s="65"/>
      <c r="M397" s="66"/>
      <c r="N397" s="67"/>
    </row>
    <row r="398" spans="2:14" x14ac:dyDescent="0.25">
      <c r="B398" s="327" t="s">
        <v>0</v>
      </c>
      <c r="C398" s="327" t="s">
        <v>19</v>
      </c>
      <c r="D398" s="327" t="s">
        <v>14</v>
      </c>
      <c r="E398" s="329" t="s">
        <v>1</v>
      </c>
      <c r="F398" s="330"/>
      <c r="G398" s="319" t="s">
        <v>20</v>
      </c>
      <c r="H398" s="319" t="s">
        <v>21</v>
      </c>
      <c r="I398" s="321" t="s">
        <v>96</v>
      </c>
      <c r="J398" s="322"/>
      <c r="K398" s="323" t="s">
        <v>84</v>
      </c>
      <c r="L398" s="325" t="s">
        <v>85</v>
      </c>
      <c r="M398" s="326"/>
      <c r="N398" s="46" t="s">
        <v>28</v>
      </c>
    </row>
    <row r="399" spans="2:14" x14ac:dyDescent="0.25">
      <c r="B399" s="328"/>
      <c r="C399" s="328"/>
      <c r="D399" s="328"/>
      <c r="E399" s="59" t="s">
        <v>104</v>
      </c>
      <c r="F399" s="45" t="s">
        <v>103</v>
      </c>
      <c r="G399" s="320"/>
      <c r="H399" s="320"/>
      <c r="I399" s="91" t="s">
        <v>100</v>
      </c>
      <c r="J399" s="92" t="s">
        <v>99</v>
      </c>
      <c r="K399" s="324"/>
      <c r="L399" s="47" t="s">
        <v>101</v>
      </c>
      <c r="M399" s="61" t="s">
        <v>86</v>
      </c>
      <c r="N399" s="46"/>
    </row>
    <row r="400" spans="2:14" x14ac:dyDescent="0.25">
      <c r="B400" s="367" t="s">
        <v>176</v>
      </c>
      <c r="C400" s="48" t="s">
        <v>26</v>
      </c>
      <c r="D400" s="49" t="s">
        <v>92</v>
      </c>
      <c r="E400" s="49">
        <v>24</v>
      </c>
      <c r="F400" s="49">
        <v>1</v>
      </c>
      <c r="G400" s="50">
        <v>17</v>
      </c>
      <c r="H400" s="51">
        <f>G400*E400*F400</f>
        <v>408</v>
      </c>
      <c r="I400" s="52">
        <f>G410/(1*14*K400)</f>
        <v>2.3809523809523809</v>
      </c>
      <c r="J400" s="52" t="s">
        <v>98</v>
      </c>
      <c r="K400" s="312">
        <f>((E400+E401)/2)/8</f>
        <v>3</v>
      </c>
      <c r="L400" s="53" t="s">
        <v>149</v>
      </c>
      <c r="M400" s="54">
        <f>(G410*0.01*2)*0.1</f>
        <v>0.2</v>
      </c>
      <c r="N400" s="50"/>
    </row>
    <row r="401" spans="2:14" x14ac:dyDescent="0.25">
      <c r="B401" s="367"/>
      <c r="C401" s="48" t="s">
        <v>27</v>
      </c>
      <c r="D401" s="49" t="s">
        <v>92</v>
      </c>
      <c r="E401" s="49">
        <v>24</v>
      </c>
      <c r="F401" s="49">
        <v>1</v>
      </c>
      <c r="G401" s="50">
        <v>12</v>
      </c>
      <c r="H401" s="51">
        <f t="shared" ref="H401" si="37">G401*E401*F401</f>
        <v>288</v>
      </c>
      <c r="I401" s="52">
        <f>G410/(1*18*K400)</f>
        <v>1.8518518518518519</v>
      </c>
      <c r="J401" s="52" t="s">
        <v>98</v>
      </c>
      <c r="K401" s="313"/>
      <c r="L401" s="44"/>
      <c r="M401" s="60"/>
      <c r="N401" s="50"/>
    </row>
    <row r="402" spans="2:14" x14ac:dyDescent="0.25">
      <c r="B402" s="367"/>
      <c r="C402" s="48" t="s">
        <v>147</v>
      </c>
      <c r="D402" s="49" t="s">
        <v>88</v>
      </c>
      <c r="E402" s="49">
        <f>ROUNDUP((G410*15*I402/(30)),0)</f>
        <v>60</v>
      </c>
      <c r="F402" s="49">
        <v>1</v>
      </c>
      <c r="G402" s="50">
        <f>9.05/1.23</f>
        <v>7.357723577235773</v>
      </c>
      <c r="H402" s="51">
        <f>G402*E402*F402</f>
        <v>441.46341463414637</v>
      </c>
      <c r="I402" s="52">
        <f>1.2</f>
        <v>1.2</v>
      </c>
      <c r="J402" s="52" t="s">
        <v>148</v>
      </c>
      <c r="K402" s="313"/>
      <c r="L402" s="53"/>
      <c r="M402" s="54"/>
      <c r="N402" s="50"/>
    </row>
    <row r="403" spans="2:14" ht="30" x14ac:dyDescent="0.25">
      <c r="B403" s="367"/>
      <c r="C403" s="48" t="s">
        <v>124</v>
      </c>
      <c r="D403" s="49" t="s">
        <v>102</v>
      </c>
      <c r="E403" s="49">
        <v>3</v>
      </c>
      <c r="F403" s="49">
        <v>1</v>
      </c>
      <c r="G403" s="50">
        <f>1950/365</f>
        <v>5.3424657534246576</v>
      </c>
      <c r="H403" s="51">
        <f>G403*E403*F403</f>
        <v>16.027397260273972</v>
      </c>
      <c r="I403" s="52"/>
      <c r="J403" s="52"/>
      <c r="K403" s="313"/>
      <c r="L403" s="53"/>
      <c r="M403" s="54"/>
      <c r="N403" s="50"/>
    </row>
    <row r="404" spans="2:14" ht="30" x14ac:dyDescent="0.25">
      <c r="B404" s="367"/>
      <c r="C404" s="48" t="s">
        <v>177</v>
      </c>
      <c r="D404" s="49" t="s">
        <v>88</v>
      </c>
      <c r="E404" s="49">
        <v>8</v>
      </c>
      <c r="F404" s="49">
        <v>2</v>
      </c>
      <c r="G404" s="50">
        <f>1950/365</f>
        <v>5.3424657534246576</v>
      </c>
      <c r="H404" s="51">
        <f>G404*E404*F404</f>
        <v>85.479452054794521</v>
      </c>
      <c r="I404" s="52"/>
      <c r="J404" s="52"/>
      <c r="K404" s="313"/>
      <c r="L404" s="53"/>
      <c r="M404" s="54"/>
      <c r="N404" s="50"/>
    </row>
    <row r="405" spans="2:14" x14ac:dyDescent="0.25">
      <c r="B405" s="367"/>
      <c r="C405" s="48"/>
      <c r="D405" s="49"/>
      <c r="E405" s="49"/>
      <c r="F405" s="49"/>
      <c r="G405" s="50"/>
      <c r="H405" s="51">
        <f t="shared" ref="H405:H408" si="38">G405*E405*F405</f>
        <v>0</v>
      </c>
      <c r="I405" s="52"/>
      <c r="J405" s="52"/>
      <c r="K405" s="313"/>
      <c r="L405" s="53"/>
      <c r="M405" s="54"/>
      <c r="N405" s="50"/>
    </row>
    <row r="406" spans="2:14" x14ac:dyDescent="0.25">
      <c r="B406" s="367"/>
      <c r="C406" s="48" t="s">
        <v>85</v>
      </c>
      <c r="D406" s="49" t="s">
        <v>88</v>
      </c>
      <c r="E406" s="49">
        <f>ROUNDUP((SUM(M400:M410)/300),0)</f>
        <v>1</v>
      </c>
      <c r="F406" s="49">
        <v>1</v>
      </c>
      <c r="G406" s="50">
        <f>200*M400/6</f>
        <v>6.666666666666667</v>
      </c>
      <c r="H406" s="51">
        <f t="shared" si="38"/>
        <v>6.666666666666667</v>
      </c>
      <c r="I406" s="52"/>
      <c r="J406" s="52"/>
      <c r="K406" s="313"/>
      <c r="L406" s="53"/>
      <c r="M406" s="54"/>
      <c r="N406" s="50"/>
    </row>
    <row r="407" spans="2:14" x14ac:dyDescent="0.25">
      <c r="B407" s="367"/>
      <c r="C407" s="48" t="s">
        <v>29</v>
      </c>
      <c r="D407" s="49" t="s">
        <v>88</v>
      </c>
      <c r="E407" s="49">
        <v>3</v>
      </c>
      <c r="F407" s="49">
        <v>1</v>
      </c>
      <c r="G407" s="50">
        <v>20</v>
      </c>
      <c r="H407" s="51">
        <f t="shared" si="38"/>
        <v>60</v>
      </c>
      <c r="I407" s="52"/>
      <c r="J407" s="52"/>
      <c r="K407" s="313"/>
      <c r="L407" s="53"/>
      <c r="M407" s="54"/>
      <c r="N407" s="50"/>
    </row>
    <row r="408" spans="2:14" x14ac:dyDescent="0.25">
      <c r="B408" s="367"/>
      <c r="C408" s="48" t="s">
        <v>22</v>
      </c>
      <c r="D408" s="49" t="s">
        <v>94</v>
      </c>
      <c r="E408" s="49">
        <v>1</v>
      </c>
      <c r="F408" s="49">
        <v>1</v>
      </c>
      <c r="G408" s="50">
        <v>100</v>
      </c>
      <c r="H408" s="51">
        <f t="shared" si="38"/>
        <v>100</v>
      </c>
      <c r="I408" s="52"/>
      <c r="J408" s="52"/>
      <c r="K408" s="313"/>
      <c r="L408" s="53"/>
      <c r="M408" s="54"/>
      <c r="N408" s="50"/>
    </row>
    <row r="409" spans="2:14" x14ac:dyDescent="0.25">
      <c r="B409" s="367"/>
      <c r="C409" s="315" t="s">
        <v>25</v>
      </c>
      <c r="D409" s="315"/>
      <c r="E409" s="315"/>
      <c r="F409" s="315"/>
      <c r="G409" s="315"/>
      <c r="H409" s="55">
        <f>SUM(H400:H408)</f>
        <v>1405.6369306158817</v>
      </c>
      <c r="I409" s="52"/>
      <c r="J409" s="52"/>
      <c r="K409" s="313"/>
      <c r="L409" s="53"/>
      <c r="M409" s="54"/>
      <c r="N409" s="50"/>
    </row>
    <row r="410" spans="2:14" x14ac:dyDescent="0.25">
      <c r="B410" s="367"/>
      <c r="C410" s="368" t="s">
        <v>24</v>
      </c>
      <c r="D410" s="369"/>
      <c r="E410" s="368" t="s">
        <v>97</v>
      </c>
      <c r="F410" s="369"/>
      <c r="G410" s="56">
        <v>100</v>
      </c>
      <c r="H410" s="55">
        <f>ROUNDUP((H409/G410),0)</f>
        <v>15</v>
      </c>
      <c r="I410" s="52"/>
      <c r="J410" s="52"/>
      <c r="K410" s="314"/>
      <c r="L410" s="57"/>
      <c r="M410" s="58"/>
      <c r="N410" s="50"/>
    </row>
    <row r="411" spans="2:14" x14ac:dyDescent="0.25">
      <c r="B411" s="64"/>
      <c r="C411" s="68"/>
      <c r="D411" s="68"/>
      <c r="E411" s="68"/>
      <c r="F411" s="68"/>
      <c r="G411" s="69"/>
      <c r="H411" s="70"/>
      <c r="I411" s="65"/>
      <c r="J411" s="65"/>
      <c r="K411" s="65"/>
      <c r="L411" s="65"/>
      <c r="M411" s="66"/>
      <c r="N411" s="67"/>
    </row>
    <row r="412" spans="2:14" x14ac:dyDescent="0.25">
      <c r="B412" s="327" t="s">
        <v>0</v>
      </c>
      <c r="C412" s="327" t="s">
        <v>19</v>
      </c>
      <c r="D412" s="327" t="s">
        <v>14</v>
      </c>
      <c r="E412" s="329" t="s">
        <v>1</v>
      </c>
      <c r="F412" s="330"/>
      <c r="G412" s="319" t="s">
        <v>20</v>
      </c>
      <c r="H412" s="319" t="s">
        <v>21</v>
      </c>
      <c r="I412" s="321" t="s">
        <v>96</v>
      </c>
      <c r="J412" s="322"/>
      <c r="K412" s="323" t="s">
        <v>84</v>
      </c>
      <c r="L412" s="325" t="s">
        <v>85</v>
      </c>
      <c r="M412" s="326"/>
      <c r="N412" s="46" t="s">
        <v>28</v>
      </c>
    </row>
    <row r="413" spans="2:14" x14ac:dyDescent="0.25">
      <c r="B413" s="328"/>
      <c r="C413" s="328"/>
      <c r="D413" s="328"/>
      <c r="E413" s="59" t="s">
        <v>104</v>
      </c>
      <c r="F413" s="45" t="s">
        <v>103</v>
      </c>
      <c r="G413" s="320"/>
      <c r="H413" s="320"/>
      <c r="I413" s="91" t="s">
        <v>100</v>
      </c>
      <c r="J413" s="92" t="s">
        <v>99</v>
      </c>
      <c r="K413" s="324"/>
      <c r="L413" s="47" t="s">
        <v>101</v>
      </c>
      <c r="M413" s="61" t="s">
        <v>86</v>
      </c>
      <c r="N413" s="46"/>
    </row>
    <row r="414" spans="2:14" x14ac:dyDescent="0.25">
      <c r="B414" s="367" t="s">
        <v>289</v>
      </c>
      <c r="C414" s="48" t="s">
        <v>26</v>
      </c>
      <c r="D414" s="49" t="s">
        <v>92</v>
      </c>
      <c r="E414" s="49">
        <v>16</v>
      </c>
      <c r="F414" s="49">
        <v>1</v>
      </c>
      <c r="G414" s="50">
        <v>17</v>
      </c>
      <c r="H414" s="51">
        <f>G414*E414*F414</f>
        <v>272</v>
      </c>
      <c r="I414" s="52">
        <f>$G$424/(1*8*$K$414)</f>
        <v>6.25</v>
      </c>
      <c r="J414" s="52" t="s">
        <v>98</v>
      </c>
      <c r="K414" s="312">
        <f>((E414+E415)/2)/8</f>
        <v>2</v>
      </c>
      <c r="L414" s="53"/>
      <c r="M414" s="54"/>
      <c r="N414" s="50"/>
    </row>
    <row r="415" spans="2:14" x14ac:dyDescent="0.25">
      <c r="B415" s="367"/>
      <c r="C415" s="48" t="s">
        <v>27</v>
      </c>
      <c r="D415" s="49" t="s">
        <v>92</v>
      </c>
      <c r="E415" s="49">
        <v>16</v>
      </c>
      <c r="F415" s="49">
        <v>1</v>
      </c>
      <c r="G415" s="50">
        <v>12</v>
      </c>
      <c r="H415" s="51">
        <f t="shared" ref="H415:H422" si="39">G415*E415*F415</f>
        <v>192</v>
      </c>
      <c r="I415" s="52">
        <f>$G$424/(1*8*$K$414)</f>
        <v>6.25</v>
      </c>
      <c r="J415" s="52" t="s">
        <v>98</v>
      </c>
      <c r="K415" s="313"/>
      <c r="L415" s="44"/>
      <c r="M415" s="60"/>
      <c r="N415" s="50"/>
    </row>
    <row r="416" spans="2:14" x14ac:dyDescent="0.25">
      <c r="B416" s="367"/>
      <c r="C416" s="48" t="s">
        <v>109</v>
      </c>
      <c r="D416" s="49" t="s">
        <v>88</v>
      </c>
      <c r="E416" s="49">
        <v>1</v>
      </c>
      <c r="F416" s="49">
        <v>1</v>
      </c>
      <c r="G416" s="50">
        <v>84.89</v>
      </c>
      <c r="H416" s="51">
        <f t="shared" si="39"/>
        <v>84.89</v>
      </c>
      <c r="I416" s="52">
        <v>10</v>
      </c>
      <c r="J416" s="52" t="s">
        <v>110</v>
      </c>
      <c r="K416" s="313"/>
      <c r="L416" s="53"/>
      <c r="M416" s="54"/>
      <c r="N416" s="50"/>
    </row>
    <row r="417" spans="2:14" x14ac:dyDescent="0.25">
      <c r="B417" s="367"/>
      <c r="C417" s="48" t="s">
        <v>111</v>
      </c>
      <c r="D417" s="49" t="s">
        <v>88</v>
      </c>
      <c r="E417" s="49">
        <v>1</v>
      </c>
      <c r="F417" s="49"/>
      <c r="G417" s="50">
        <v>120</v>
      </c>
      <c r="H417" s="51"/>
      <c r="I417" s="52">
        <v>9</v>
      </c>
      <c r="J417" s="52" t="s">
        <v>110</v>
      </c>
      <c r="K417" s="313"/>
      <c r="L417" s="53"/>
      <c r="M417" s="54"/>
      <c r="N417" s="50"/>
    </row>
    <row r="418" spans="2:14" ht="30" x14ac:dyDescent="0.25">
      <c r="B418" s="367"/>
      <c r="C418" s="48" t="s">
        <v>112</v>
      </c>
      <c r="D418" s="49" t="s">
        <v>88</v>
      </c>
      <c r="E418" s="49">
        <v>1</v>
      </c>
      <c r="F418" s="49">
        <v>0</v>
      </c>
      <c r="G418" s="50">
        <v>214</v>
      </c>
      <c r="H418" s="51">
        <f t="shared" si="39"/>
        <v>0</v>
      </c>
      <c r="I418" s="52">
        <v>10</v>
      </c>
      <c r="J418" s="52" t="s">
        <v>110</v>
      </c>
      <c r="K418" s="313"/>
      <c r="L418" s="53"/>
      <c r="M418" s="54"/>
      <c r="N418" s="50"/>
    </row>
    <row r="419" spans="2:14" x14ac:dyDescent="0.25">
      <c r="B419" s="367"/>
      <c r="C419" s="48" t="s">
        <v>113</v>
      </c>
      <c r="D419" s="49" t="s">
        <v>88</v>
      </c>
      <c r="E419" s="49">
        <v>1</v>
      </c>
      <c r="F419" s="49"/>
      <c r="G419" s="50">
        <v>74.989999999999995</v>
      </c>
      <c r="H419" s="51">
        <f t="shared" si="39"/>
        <v>0</v>
      </c>
      <c r="I419" s="52">
        <v>6</v>
      </c>
      <c r="J419" s="52" t="s">
        <v>110</v>
      </c>
      <c r="K419" s="313"/>
      <c r="L419" s="53"/>
      <c r="M419" s="54"/>
      <c r="N419" s="50"/>
    </row>
    <row r="420" spans="2:14" x14ac:dyDescent="0.25">
      <c r="B420" s="367"/>
      <c r="C420" s="48" t="s">
        <v>114</v>
      </c>
      <c r="D420" s="49" t="s">
        <v>88</v>
      </c>
      <c r="E420" s="49">
        <v>1</v>
      </c>
      <c r="F420" s="49"/>
      <c r="G420" s="50">
        <v>249</v>
      </c>
      <c r="H420" s="51">
        <f t="shared" si="39"/>
        <v>0</v>
      </c>
      <c r="I420" s="52">
        <v>10</v>
      </c>
      <c r="J420" s="52" t="s">
        <v>110</v>
      </c>
      <c r="K420" s="313"/>
      <c r="L420" s="53"/>
      <c r="M420" s="54"/>
      <c r="N420" s="50"/>
    </row>
    <row r="421" spans="2:14" x14ac:dyDescent="0.25">
      <c r="B421" s="367"/>
      <c r="C421" s="48" t="s">
        <v>29</v>
      </c>
      <c r="D421" s="49" t="s">
        <v>88</v>
      </c>
      <c r="E421" s="49">
        <v>1</v>
      </c>
      <c r="F421" s="49">
        <v>1</v>
      </c>
      <c r="G421" s="50">
        <v>20</v>
      </c>
      <c r="H421" s="51">
        <f t="shared" si="39"/>
        <v>20</v>
      </c>
      <c r="I421" s="52"/>
      <c r="J421" s="52"/>
      <c r="K421" s="313"/>
      <c r="L421" s="53"/>
      <c r="M421" s="54"/>
      <c r="N421" s="50"/>
    </row>
    <row r="422" spans="2:14" x14ac:dyDescent="0.25">
      <c r="B422" s="367"/>
      <c r="C422" s="48" t="s">
        <v>22</v>
      </c>
      <c r="D422" s="49" t="s">
        <v>94</v>
      </c>
      <c r="E422" s="49">
        <v>1</v>
      </c>
      <c r="F422" s="49">
        <v>1</v>
      </c>
      <c r="G422" s="50">
        <v>30</v>
      </c>
      <c r="H422" s="51">
        <f t="shared" si="39"/>
        <v>30</v>
      </c>
      <c r="I422" s="52"/>
      <c r="J422" s="52"/>
      <c r="K422" s="313"/>
      <c r="L422" s="53"/>
      <c r="M422" s="54"/>
      <c r="N422" s="50"/>
    </row>
    <row r="423" spans="2:14" x14ac:dyDescent="0.25">
      <c r="B423" s="367"/>
      <c r="C423" s="315" t="s">
        <v>25</v>
      </c>
      <c r="D423" s="315"/>
      <c r="E423" s="315"/>
      <c r="F423" s="315"/>
      <c r="G423" s="315"/>
      <c r="H423" s="55">
        <f>SUM(H414:H422)</f>
        <v>598.89</v>
      </c>
      <c r="I423" s="52"/>
      <c r="J423" s="52"/>
      <c r="K423" s="313"/>
      <c r="L423" s="53"/>
      <c r="M423" s="54"/>
      <c r="N423" s="50"/>
    </row>
    <row r="424" spans="2:14" x14ac:dyDescent="0.25">
      <c r="B424" s="367"/>
      <c r="C424" s="368" t="s">
        <v>24</v>
      </c>
      <c r="D424" s="369"/>
      <c r="E424" s="368" t="s">
        <v>97</v>
      </c>
      <c r="F424" s="369"/>
      <c r="G424" s="56">
        <v>100</v>
      </c>
      <c r="H424" s="55">
        <f>ROUNDUP((H423/G424),0)</f>
        <v>6</v>
      </c>
      <c r="I424" s="52"/>
      <c r="J424" s="52"/>
      <c r="K424" s="314"/>
      <c r="L424" s="57"/>
      <c r="M424" s="58"/>
      <c r="N424" s="50"/>
    </row>
    <row r="426" spans="2:14" x14ac:dyDescent="0.25">
      <c r="B426" s="327" t="s">
        <v>0</v>
      </c>
      <c r="C426" s="327" t="s">
        <v>19</v>
      </c>
      <c r="D426" s="327" t="s">
        <v>14</v>
      </c>
      <c r="E426" s="329" t="s">
        <v>1</v>
      </c>
      <c r="F426" s="330"/>
      <c r="G426" s="319" t="s">
        <v>20</v>
      </c>
      <c r="H426" s="319" t="s">
        <v>21</v>
      </c>
      <c r="I426" s="321" t="s">
        <v>96</v>
      </c>
      <c r="J426" s="322"/>
      <c r="K426" s="323" t="s">
        <v>84</v>
      </c>
      <c r="L426" s="325" t="s">
        <v>85</v>
      </c>
      <c r="M426" s="326"/>
      <c r="N426" s="46" t="s">
        <v>28</v>
      </c>
    </row>
    <row r="427" spans="2:14" x14ac:dyDescent="0.25">
      <c r="B427" s="328"/>
      <c r="C427" s="328"/>
      <c r="D427" s="328"/>
      <c r="E427" s="59" t="s">
        <v>104</v>
      </c>
      <c r="F427" s="45" t="s">
        <v>103</v>
      </c>
      <c r="G427" s="320"/>
      <c r="H427" s="320"/>
      <c r="I427" s="91" t="s">
        <v>100</v>
      </c>
      <c r="J427" s="92" t="s">
        <v>99</v>
      </c>
      <c r="K427" s="324"/>
      <c r="L427" s="47" t="s">
        <v>101</v>
      </c>
      <c r="M427" s="61" t="s">
        <v>86</v>
      </c>
      <c r="N427" s="46"/>
    </row>
    <row r="428" spans="2:14" x14ac:dyDescent="0.25">
      <c r="B428" s="367" t="s">
        <v>115</v>
      </c>
      <c r="C428" s="48" t="s">
        <v>26</v>
      </c>
      <c r="D428" s="49" t="s">
        <v>92</v>
      </c>
      <c r="E428" s="49">
        <v>16</v>
      </c>
      <c r="F428" s="49">
        <v>1</v>
      </c>
      <c r="G428" s="50">
        <v>17</v>
      </c>
      <c r="H428" s="51">
        <f>G428*E428*F428</f>
        <v>272</v>
      </c>
      <c r="I428" s="52">
        <f>$G$424/(1*8*$K$428)</f>
        <v>6.25</v>
      </c>
      <c r="J428" s="52" t="s">
        <v>98</v>
      </c>
      <c r="K428" s="312">
        <f>((E428+E429)/2)/8</f>
        <v>2</v>
      </c>
      <c r="L428" s="53"/>
      <c r="M428" s="54"/>
      <c r="N428" s="50"/>
    </row>
    <row r="429" spans="2:14" x14ac:dyDescent="0.25">
      <c r="B429" s="367"/>
      <c r="C429" s="48" t="s">
        <v>27</v>
      </c>
      <c r="D429" s="49" t="s">
        <v>92</v>
      </c>
      <c r="E429" s="49">
        <v>16</v>
      </c>
      <c r="F429" s="49">
        <v>1</v>
      </c>
      <c r="G429" s="50">
        <v>12</v>
      </c>
      <c r="H429" s="51">
        <f t="shared" ref="H429:H430" si="40">G429*E429*F429</f>
        <v>192</v>
      </c>
      <c r="I429" s="52">
        <f>$G$424/(1*8*$K$428)</f>
        <v>6.25</v>
      </c>
      <c r="J429" s="52" t="s">
        <v>98</v>
      </c>
      <c r="K429" s="313"/>
      <c r="L429" s="44"/>
      <c r="M429" s="60"/>
      <c r="N429" s="50"/>
    </row>
    <row r="430" spans="2:14" ht="30" x14ac:dyDescent="0.25">
      <c r="B430" s="367"/>
      <c r="C430" s="48" t="s">
        <v>116</v>
      </c>
      <c r="D430" s="49" t="s">
        <v>88</v>
      </c>
      <c r="E430" s="49">
        <v>1</v>
      </c>
      <c r="F430" s="49">
        <v>2</v>
      </c>
      <c r="G430" s="50">
        <v>99</v>
      </c>
      <c r="H430" s="51">
        <f t="shared" si="40"/>
        <v>198</v>
      </c>
      <c r="I430" s="52">
        <v>12</v>
      </c>
      <c r="J430" s="52" t="s">
        <v>110</v>
      </c>
      <c r="K430" s="313"/>
      <c r="L430" s="53"/>
      <c r="M430" s="54"/>
      <c r="N430" s="50"/>
    </row>
    <row r="431" spans="2:14" x14ac:dyDescent="0.25">
      <c r="B431" s="367"/>
      <c r="C431" s="48" t="s">
        <v>117</v>
      </c>
      <c r="D431" s="49" t="s">
        <v>88</v>
      </c>
      <c r="E431" s="49">
        <v>1</v>
      </c>
      <c r="F431" s="49"/>
      <c r="G431" s="50">
        <v>150</v>
      </c>
      <c r="H431" s="51"/>
      <c r="I431" s="52">
        <v>12</v>
      </c>
      <c r="J431" s="52" t="s">
        <v>110</v>
      </c>
      <c r="K431" s="313"/>
      <c r="L431" s="53"/>
      <c r="M431" s="54"/>
      <c r="N431" s="50"/>
    </row>
    <row r="432" spans="2:14" x14ac:dyDescent="0.25">
      <c r="B432" s="367"/>
      <c r="C432" s="48" t="s">
        <v>118</v>
      </c>
      <c r="D432" s="49" t="s">
        <v>88</v>
      </c>
      <c r="E432" s="49">
        <v>1</v>
      </c>
      <c r="F432" s="49"/>
      <c r="G432" s="50">
        <v>160</v>
      </c>
      <c r="H432" s="51">
        <f t="shared" ref="H432:H436" si="41">G432*E432*F432</f>
        <v>0</v>
      </c>
      <c r="I432" s="52">
        <v>12</v>
      </c>
      <c r="J432" s="52" t="s">
        <v>110</v>
      </c>
      <c r="K432" s="313"/>
      <c r="L432" s="53"/>
      <c r="M432" s="54"/>
      <c r="N432" s="50"/>
    </row>
    <row r="433" spans="2:14" ht="30" x14ac:dyDescent="0.25">
      <c r="B433" s="367"/>
      <c r="C433" s="48" t="s">
        <v>119</v>
      </c>
      <c r="D433" s="49" t="s">
        <v>88</v>
      </c>
      <c r="E433" s="49">
        <v>1</v>
      </c>
      <c r="F433" s="49"/>
      <c r="G433" s="50">
        <v>184</v>
      </c>
      <c r="H433" s="51">
        <f t="shared" si="41"/>
        <v>0</v>
      </c>
      <c r="I433" s="52">
        <v>12</v>
      </c>
      <c r="J433" s="52" t="s">
        <v>110</v>
      </c>
      <c r="K433" s="313"/>
      <c r="L433" s="53"/>
      <c r="M433" s="54"/>
      <c r="N433" s="50"/>
    </row>
    <row r="434" spans="2:14" x14ac:dyDescent="0.25">
      <c r="B434" s="367"/>
      <c r="C434" s="48" t="s">
        <v>120</v>
      </c>
      <c r="D434" s="49" t="s">
        <v>88</v>
      </c>
      <c r="E434" s="49">
        <v>1</v>
      </c>
      <c r="F434" s="49"/>
      <c r="G434" s="50">
        <v>150</v>
      </c>
      <c r="H434" s="51">
        <f t="shared" si="41"/>
        <v>0</v>
      </c>
      <c r="I434" s="52">
        <v>11</v>
      </c>
      <c r="J434" s="52" t="s">
        <v>110</v>
      </c>
      <c r="K434" s="313"/>
      <c r="L434" s="53"/>
      <c r="M434" s="54"/>
      <c r="N434" s="50"/>
    </row>
    <row r="435" spans="2:14" x14ac:dyDescent="0.25">
      <c r="B435" s="367"/>
      <c r="C435" s="48" t="s">
        <v>29</v>
      </c>
      <c r="D435" s="49" t="s">
        <v>88</v>
      </c>
      <c r="E435" s="49">
        <v>1</v>
      </c>
      <c r="F435" s="49">
        <v>2</v>
      </c>
      <c r="G435" s="50">
        <v>20</v>
      </c>
      <c r="H435" s="51">
        <f t="shared" si="41"/>
        <v>40</v>
      </c>
      <c r="I435" s="52"/>
      <c r="J435" s="52"/>
      <c r="K435" s="313"/>
      <c r="L435" s="53"/>
      <c r="M435" s="54"/>
      <c r="N435" s="50"/>
    </row>
    <row r="436" spans="2:14" x14ac:dyDescent="0.25">
      <c r="B436" s="367"/>
      <c r="C436" s="48" t="s">
        <v>22</v>
      </c>
      <c r="D436" s="49" t="s">
        <v>94</v>
      </c>
      <c r="E436" s="49">
        <v>1</v>
      </c>
      <c r="F436" s="49">
        <v>1</v>
      </c>
      <c r="G436" s="50">
        <v>30</v>
      </c>
      <c r="H436" s="51">
        <f t="shared" si="41"/>
        <v>30</v>
      </c>
      <c r="I436" s="52"/>
      <c r="J436" s="52"/>
      <c r="K436" s="313"/>
      <c r="L436" s="53"/>
      <c r="M436" s="54"/>
      <c r="N436" s="50"/>
    </row>
    <row r="437" spans="2:14" x14ac:dyDescent="0.25">
      <c r="B437" s="367"/>
      <c r="C437" s="315" t="s">
        <v>25</v>
      </c>
      <c r="D437" s="315"/>
      <c r="E437" s="315"/>
      <c r="F437" s="315"/>
      <c r="G437" s="315"/>
      <c r="H437" s="55">
        <f>SUM(H428:H436)</f>
        <v>732</v>
      </c>
      <c r="I437" s="52"/>
      <c r="J437" s="52"/>
      <c r="K437" s="313"/>
      <c r="L437" s="53"/>
      <c r="M437" s="54"/>
      <c r="N437" s="50"/>
    </row>
    <row r="438" spans="2:14" x14ac:dyDescent="0.25">
      <c r="B438" s="367"/>
      <c r="C438" s="368" t="s">
        <v>24</v>
      </c>
      <c r="D438" s="369"/>
      <c r="E438" s="368" t="s">
        <v>97</v>
      </c>
      <c r="F438" s="369"/>
      <c r="G438" s="56">
        <v>100</v>
      </c>
      <c r="H438" s="55">
        <f>ROUNDUP((H437/G438),0)</f>
        <v>8</v>
      </c>
      <c r="I438" s="52"/>
      <c r="J438" s="52"/>
      <c r="K438" s="314"/>
      <c r="L438" s="57"/>
      <c r="M438" s="58"/>
      <c r="N438" s="50"/>
    </row>
    <row r="440" spans="2:14" x14ac:dyDescent="0.25">
      <c r="B440" s="327" t="s">
        <v>0</v>
      </c>
      <c r="C440" s="327" t="s">
        <v>19</v>
      </c>
      <c r="D440" s="327" t="s">
        <v>14</v>
      </c>
      <c r="E440" s="329" t="s">
        <v>1</v>
      </c>
      <c r="F440" s="330"/>
      <c r="G440" s="319" t="s">
        <v>20</v>
      </c>
      <c r="H440" s="319" t="s">
        <v>21</v>
      </c>
      <c r="I440" s="321" t="s">
        <v>96</v>
      </c>
      <c r="J440" s="322"/>
      <c r="K440" s="323" t="s">
        <v>84</v>
      </c>
      <c r="L440" s="325" t="s">
        <v>85</v>
      </c>
      <c r="M440" s="326"/>
      <c r="N440" s="46" t="s">
        <v>28</v>
      </c>
    </row>
    <row r="441" spans="2:14" x14ac:dyDescent="0.25">
      <c r="B441" s="328"/>
      <c r="C441" s="328"/>
      <c r="D441" s="328"/>
      <c r="E441" s="59" t="s">
        <v>104</v>
      </c>
      <c r="F441" s="45" t="s">
        <v>103</v>
      </c>
      <c r="G441" s="320"/>
      <c r="H441" s="320"/>
      <c r="I441" s="91" t="s">
        <v>100</v>
      </c>
      <c r="J441" s="92" t="s">
        <v>99</v>
      </c>
      <c r="K441" s="324"/>
      <c r="L441" s="47" t="s">
        <v>101</v>
      </c>
      <c r="M441" s="61" t="s">
        <v>86</v>
      </c>
      <c r="N441" s="46"/>
    </row>
    <row r="442" spans="2:14" x14ac:dyDescent="0.25">
      <c r="B442" s="367" t="s">
        <v>178</v>
      </c>
      <c r="C442" s="48" t="s">
        <v>26</v>
      </c>
      <c r="D442" s="49" t="s">
        <v>92</v>
      </c>
      <c r="E442" s="49">
        <v>16</v>
      </c>
      <c r="F442" s="49">
        <v>1</v>
      </c>
      <c r="G442" s="50">
        <v>17</v>
      </c>
      <c r="H442" s="51">
        <f>G442*E442*F442</f>
        <v>272</v>
      </c>
      <c r="I442" s="52">
        <f>$G$424/(1*8*$K$414)</f>
        <v>6.25</v>
      </c>
      <c r="J442" s="52" t="s">
        <v>98</v>
      </c>
      <c r="K442" s="312">
        <f>((E442+E443)/2)/8</f>
        <v>2</v>
      </c>
      <c r="L442" s="53"/>
      <c r="M442" s="54"/>
      <c r="N442" s="50"/>
    </row>
    <row r="443" spans="2:14" x14ac:dyDescent="0.25">
      <c r="B443" s="367"/>
      <c r="C443" s="48" t="s">
        <v>27</v>
      </c>
      <c r="D443" s="49" t="s">
        <v>92</v>
      </c>
      <c r="E443" s="49">
        <v>16</v>
      </c>
      <c r="F443" s="49">
        <v>1</v>
      </c>
      <c r="G443" s="50">
        <v>12</v>
      </c>
      <c r="H443" s="51">
        <f t="shared" ref="H443" si="42">G443*E443*F443</f>
        <v>192</v>
      </c>
      <c r="I443" s="52">
        <f>$G$424/(1*8*$K$414)</f>
        <v>6.25</v>
      </c>
      <c r="J443" s="52" t="s">
        <v>98</v>
      </c>
      <c r="K443" s="313"/>
      <c r="L443" s="44"/>
      <c r="M443" s="60"/>
      <c r="N443" s="50"/>
    </row>
    <row r="444" spans="2:14" x14ac:dyDescent="0.25">
      <c r="B444" s="367"/>
      <c r="C444" s="48"/>
      <c r="D444" s="49"/>
      <c r="E444" s="49"/>
      <c r="F444" s="49"/>
      <c r="G444" s="50"/>
      <c r="H444" s="51"/>
      <c r="I444" s="52"/>
      <c r="J444" s="52"/>
      <c r="K444" s="313"/>
      <c r="L444" s="53"/>
      <c r="M444" s="54"/>
      <c r="N444" s="50"/>
    </row>
    <row r="445" spans="2:14" x14ac:dyDescent="0.25">
      <c r="B445" s="367"/>
      <c r="C445" s="48" t="s">
        <v>111</v>
      </c>
      <c r="D445" s="49" t="s">
        <v>88</v>
      </c>
      <c r="E445" s="49">
        <v>1</v>
      </c>
      <c r="F445" s="49">
        <v>1</v>
      </c>
      <c r="G445" s="50">
        <v>120</v>
      </c>
      <c r="H445" s="51"/>
      <c r="I445" s="52">
        <v>9</v>
      </c>
      <c r="J445" s="52" t="s">
        <v>110</v>
      </c>
      <c r="K445" s="313"/>
      <c r="L445" s="53"/>
      <c r="M445" s="54"/>
      <c r="N445" s="50"/>
    </row>
    <row r="446" spans="2:14" x14ac:dyDescent="0.25">
      <c r="B446" s="367"/>
      <c r="C446" s="48"/>
      <c r="D446" s="49"/>
      <c r="E446" s="49"/>
      <c r="F446" s="49"/>
      <c r="G446" s="50"/>
      <c r="H446" s="51"/>
      <c r="I446" s="52"/>
      <c r="J446" s="52"/>
      <c r="K446" s="313"/>
      <c r="L446" s="53"/>
      <c r="M446" s="54"/>
      <c r="N446" s="50"/>
    </row>
    <row r="447" spans="2:14" x14ac:dyDescent="0.25">
      <c r="B447" s="367"/>
      <c r="C447" s="48"/>
      <c r="D447" s="49"/>
      <c r="E447" s="49"/>
      <c r="F447" s="49"/>
      <c r="G447" s="50"/>
      <c r="H447" s="51"/>
      <c r="I447" s="52"/>
      <c r="J447" s="52"/>
      <c r="K447" s="313"/>
      <c r="L447" s="53"/>
      <c r="M447" s="54"/>
      <c r="N447" s="50"/>
    </row>
    <row r="448" spans="2:14" x14ac:dyDescent="0.25">
      <c r="B448" s="367"/>
      <c r="C448" s="48"/>
      <c r="D448" s="49"/>
      <c r="E448" s="49"/>
      <c r="F448" s="49"/>
      <c r="G448" s="50"/>
      <c r="H448" s="51"/>
      <c r="I448" s="52"/>
      <c r="J448" s="52"/>
      <c r="K448" s="313"/>
      <c r="L448" s="53"/>
      <c r="M448" s="54"/>
      <c r="N448" s="50"/>
    </row>
    <row r="449" spans="2:14" x14ac:dyDescent="0.25">
      <c r="B449" s="367"/>
      <c r="C449" s="48" t="s">
        <v>29</v>
      </c>
      <c r="D449" s="49" t="s">
        <v>88</v>
      </c>
      <c r="E449" s="49">
        <v>1</v>
      </c>
      <c r="F449" s="49">
        <v>1</v>
      </c>
      <c r="G449" s="50">
        <v>20</v>
      </c>
      <c r="H449" s="51">
        <f t="shared" ref="H449:H450" si="43">G449*E449*F449</f>
        <v>20</v>
      </c>
      <c r="I449" s="52"/>
      <c r="J449" s="52"/>
      <c r="K449" s="313"/>
      <c r="L449" s="53"/>
      <c r="M449" s="54"/>
      <c r="N449" s="50"/>
    </row>
    <row r="450" spans="2:14" x14ac:dyDescent="0.25">
      <c r="B450" s="367"/>
      <c r="C450" s="48" t="s">
        <v>22</v>
      </c>
      <c r="D450" s="49" t="s">
        <v>94</v>
      </c>
      <c r="E450" s="49">
        <v>1</v>
      </c>
      <c r="F450" s="49">
        <v>1</v>
      </c>
      <c r="G450" s="50">
        <v>30</v>
      </c>
      <c r="H450" s="51">
        <f t="shared" si="43"/>
        <v>30</v>
      </c>
      <c r="I450" s="52"/>
      <c r="J450" s="52"/>
      <c r="K450" s="313"/>
      <c r="L450" s="53"/>
      <c r="M450" s="54"/>
      <c r="N450" s="50"/>
    </row>
    <row r="451" spans="2:14" x14ac:dyDescent="0.25">
      <c r="B451" s="367"/>
      <c r="C451" s="315" t="s">
        <v>25</v>
      </c>
      <c r="D451" s="315"/>
      <c r="E451" s="315"/>
      <c r="F451" s="315"/>
      <c r="G451" s="315"/>
      <c r="H451" s="55">
        <f>SUM(H442:H450)</f>
        <v>514</v>
      </c>
      <c r="I451" s="52"/>
      <c r="J451" s="52"/>
      <c r="K451" s="313"/>
      <c r="L451" s="53"/>
      <c r="M451" s="54"/>
      <c r="N451" s="50"/>
    </row>
    <row r="452" spans="2:14" x14ac:dyDescent="0.25">
      <c r="B452" s="367"/>
      <c r="C452" s="368" t="s">
        <v>24</v>
      </c>
      <c r="D452" s="369"/>
      <c r="E452" s="368" t="s">
        <v>97</v>
      </c>
      <c r="F452" s="369"/>
      <c r="G452" s="56">
        <v>100</v>
      </c>
      <c r="H452" s="55">
        <f>ROUNDUP((H451/G452),0)</f>
        <v>6</v>
      </c>
      <c r="I452" s="52"/>
      <c r="J452" s="52"/>
      <c r="K452" s="314"/>
      <c r="L452" s="57"/>
      <c r="M452" s="58"/>
      <c r="N452" s="50"/>
    </row>
    <row r="454" spans="2:14" x14ac:dyDescent="0.25">
      <c r="B454" s="327" t="s">
        <v>0</v>
      </c>
      <c r="C454" s="327" t="s">
        <v>19</v>
      </c>
      <c r="D454" s="327" t="s">
        <v>14</v>
      </c>
      <c r="E454" s="329" t="s">
        <v>1</v>
      </c>
      <c r="F454" s="330"/>
      <c r="G454" s="319" t="s">
        <v>20</v>
      </c>
      <c r="H454" s="319" t="s">
        <v>21</v>
      </c>
      <c r="I454" s="321" t="s">
        <v>96</v>
      </c>
      <c r="J454" s="322"/>
      <c r="K454" s="323" t="s">
        <v>84</v>
      </c>
      <c r="L454" s="325" t="s">
        <v>85</v>
      </c>
      <c r="M454" s="326"/>
      <c r="N454" s="46" t="s">
        <v>28</v>
      </c>
    </row>
    <row r="455" spans="2:14" x14ac:dyDescent="0.25">
      <c r="B455" s="328"/>
      <c r="C455" s="328"/>
      <c r="D455" s="328"/>
      <c r="E455" s="59" t="s">
        <v>104</v>
      </c>
      <c r="F455" s="45" t="s">
        <v>103</v>
      </c>
      <c r="G455" s="320"/>
      <c r="H455" s="320"/>
      <c r="I455" s="91" t="s">
        <v>100</v>
      </c>
      <c r="J455" s="92" t="s">
        <v>99</v>
      </c>
      <c r="K455" s="324"/>
      <c r="L455" s="47" t="s">
        <v>101</v>
      </c>
      <c r="M455" s="61" t="s">
        <v>86</v>
      </c>
      <c r="N455" s="46"/>
    </row>
    <row r="456" spans="2:14" x14ac:dyDescent="0.25">
      <c r="B456" s="367" t="s">
        <v>180</v>
      </c>
      <c r="C456" s="48" t="s">
        <v>26</v>
      </c>
      <c r="D456" s="49" t="s">
        <v>92</v>
      </c>
      <c r="E456" s="49">
        <v>16</v>
      </c>
      <c r="F456" s="49">
        <v>1</v>
      </c>
      <c r="G456" s="50">
        <v>17</v>
      </c>
      <c r="H456" s="51">
        <f>G456*E456*F456</f>
        <v>272</v>
      </c>
      <c r="I456" s="52">
        <f>$G$424/(1*8*$K$428)</f>
        <v>6.25</v>
      </c>
      <c r="J456" s="52" t="s">
        <v>98</v>
      </c>
      <c r="K456" s="312">
        <f>((E456+E457)/2)/8</f>
        <v>2</v>
      </c>
      <c r="L456" s="53"/>
      <c r="M456" s="54"/>
      <c r="N456" s="50"/>
    </row>
    <row r="457" spans="2:14" x14ac:dyDescent="0.25">
      <c r="B457" s="367"/>
      <c r="C457" s="48" t="s">
        <v>27</v>
      </c>
      <c r="D457" s="49" t="s">
        <v>92</v>
      </c>
      <c r="E457" s="49">
        <v>16</v>
      </c>
      <c r="F457" s="49">
        <v>1</v>
      </c>
      <c r="G457" s="50">
        <v>12</v>
      </c>
      <c r="H457" s="51">
        <f t="shared" ref="H457" si="44">G457*E457*F457</f>
        <v>192</v>
      </c>
      <c r="I457" s="52">
        <f>$G$424/(1*8*$K$428)</f>
        <v>6.25</v>
      </c>
      <c r="J457" s="52" t="s">
        <v>98</v>
      </c>
      <c r="K457" s="313"/>
      <c r="L457" s="44"/>
      <c r="M457" s="60"/>
      <c r="N457" s="50"/>
    </row>
    <row r="458" spans="2:14" x14ac:dyDescent="0.25">
      <c r="B458" s="367"/>
      <c r="C458" s="48"/>
      <c r="D458" s="49"/>
      <c r="E458" s="49"/>
      <c r="F458" s="49"/>
      <c r="G458" s="50"/>
      <c r="H458" s="51"/>
      <c r="I458" s="52"/>
      <c r="J458" s="52"/>
      <c r="K458" s="313"/>
      <c r="L458" s="53"/>
      <c r="M458" s="54"/>
      <c r="N458" s="50"/>
    </row>
    <row r="459" spans="2:14" x14ac:dyDescent="0.25">
      <c r="B459" s="367"/>
      <c r="C459" s="48"/>
      <c r="D459" s="49"/>
      <c r="E459" s="49"/>
      <c r="F459" s="49"/>
      <c r="G459" s="50"/>
      <c r="H459" s="51"/>
      <c r="I459" s="52"/>
      <c r="J459" s="52"/>
      <c r="K459" s="313"/>
      <c r="L459" s="53"/>
      <c r="M459" s="54"/>
      <c r="N459" s="50"/>
    </row>
    <row r="460" spans="2:14" x14ac:dyDescent="0.25">
      <c r="B460" s="367"/>
      <c r="C460" s="48"/>
      <c r="D460" s="49"/>
      <c r="E460" s="49"/>
      <c r="F460" s="49"/>
      <c r="G460" s="50"/>
      <c r="H460" s="51"/>
      <c r="I460" s="52"/>
      <c r="J460" s="52"/>
      <c r="K460" s="313"/>
      <c r="L460" s="53"/>
      <c r="M460" s="54"/>
      <c r="N460" s="50"/>
    </row>
    <row r="461" spans="2:14" x14ac:dyDescent="0.25">
      <c r="B461" s="367"/>
      <c r="C461" s="48"/>
      <c r="D461" s="49"/>
      <c r="E461" s="49"/>
      <c r="F461" s="49"/>
      <c r="G461" s="50"/>
      <c r="H461" s="51"/>
      <c r="I461" s="52"/>
      <c r="J461" s="52"/>
      <c r="K461" s="313"/>
      <c r="L461" s="53"/>
      <c r="M461" s="54"/>
      <c r="N461" s="50"/>
    </row>
    <row r="462" spans="2:14" x14ac:dyDescent="0.25">
      <c r="B462" s="367"/>
      <c r="C462" s="48" t="s">
        <v>179</v>
      </c>
      <c r="D462" s="49" t="s">
        <v>88</v>
      </c>
      <c r="E462" s="49">
        <v>1</v>
      </c>
      <c r="F462" s="49">
        <v>1</v>
      </c>
      <c r="G462" s="50">
        <v>180</v>
      </c>
      <c r="H462" s="51">
        <f t="shared" ref="H462:H464" si="45">G462*E462*F462</f>
        <v>180</v>
      </c>
      <c r="I462" s="52">
        <v>11</v>
      </c>
      <c r="J462" s="52" t="s">
        <v>110</v>
      </c>
      <c r="K462" s="313"/>
      <c r="L462" s="53"/>
      <c r="M462" s="54"/>
      <c r="N462" s="50"/>
    </row>
    <row r="463" spans="2:14" x14ac:dyDescent="0.25">
      <c r="B463" s="367"/>
      <c r="C463" s="48" t="s">
        <v>29</v>
      </c>
      <c r="D463" s="49" t="s">
        <v>88</v>
      </c>
      <c r="E463" s="49">
        <v>1</v>
      </c>
      <c r="F463" s="49">
        <v>2</v>
      </c>
      <c r="G463" s="50">
        <v>20</v>
      </c>
      <c r="H463" s="51">
        <f t="shared" si="45"/>
        <v>40</v>
      </c>
      <c r="I463" s="52"/>
      <c r="J463" s="52"/>
      <c r="K463" s="313"/>
      <c r="L463" s="53"/>
      <c r="M463" s="54"/>
      <c r="N463" s="50"/>
    </row>
    <row r="464" spans="2:14" x14ac:dyDescent="0.25">
      <c r="B464" s="367"/>
      <c r="C464" s="48" t="s">
        <v>22</v>
      </c>
      <c r="D464" s="49" t="s">
        <v>94</v>
      </c>
      <c r="E464" s="49">
        <v>1</v>
      </c>
      <c r="F464" s="49">
        <v>1</v>
      </c>
      <c r="G464" s="50">
        <v>30</v>
      </c>
      <c r="H464" s="51">
        <f t="shared" si="45"/>
        <v>30</v>
      </c>
      <c r="I464" s="52"/>
      <c r="J464" s="52"/>
      <c r="K464" s="313"/>
      <c r="L464" s="53"/>
      <c r="M464" s="54"/>
      <c r="N464" s="50"/>
    </row>
    <row r="465" spans="2:14" x14ac:dyDescent="0.25">
      <c r="B465" s="367"/>
      <c r="C465" s="315" t="s">
        <v>25</v>
      </c>
      <c r="D465" s="315"/>
      <c r="E465" s="315"/>
      <c r="F465" s="315"/>
      <c r="G465" s="315"/>
      <c r="H465" s="55">
        <f>SUM(H456:H464)</f>
        <v>714</v>
      </c>
      <c r="I465" s="52"/>
      <c r="J465" s="52"/>
      <c r="K465" s="313"/>
      <c r="L465" s="53"/>
      <c r="M465" s="54"/>
      <c r="N465" s="50"/>
    </row>
    <row r="466" spans="2:14" x14ac:dyDescent="0.25">
      <c r="B466" s="367"/>
      <c r="C466" s="368" t="s">
        <v>24</v>
      </c>
      <c r="D466" s="369"/>
      <c r="E466" s="368" t="s">
        <v>97</v>
      </c>
      <c r="F466" s="369"/>
      <c r="G466" s="56">
        <v>100</v>
      </c>
      <c r="H466" s="55">
        <f>ROUNDUP((H465/G466),0)</f>
        <v>8</v>
      </c>
      <c r="I466" s="52"/>
      <c r="J466" s="52"/>
      <c r="K466" s="314"/>
      <c r="L466" s="57"/>
      <c r="M466" s="58"/>
      <c r="N466" s="50"/>
    </row>
    <row r="467" spans="2:14" x14ac:dyDescent="0.25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</row>
    <row r="468" spans="2:14" x14ac:dyDescent="0.25">
      <c r="B468" s="327" t="s">
        <v>0</v>
      </c>
      <c r="C468" s="327" t="s">
        <v>19</v>
      </c>
      <c r="D468" s="327" t="s">
        <v>14</v>
      </c>
      <c r="E468" s="329" t="s">
        <v>1</v>
      </c>
      <c r="F468" s="330"/>
      <c r="G468" s="319" t="s">
        <v>20</v>
      </c>
      <c r="H468" s="319" t="s">
        <v>21</v>
      </c>
      <c r="I468" s="321" t="s">
        <v>96</v>
      </c>
      <c r="J468" s="322"/>
      <c r="K468" s="323" t="s">
        <v>84</v>
      </c>
      <c r="L468" s="325" t="s">
        <v>85</v>
      </c>
      <c r="M468" s="326"/>
      <c r="N468" s="46" t="s">
        <v>28</v>
      </c>
    </row>
    <row r="469" spans="2:14" x14ac:dyDescent="0.25">
      <c r="B469" s="328"/>
      <c r="C469" s="328"/>
      <c r="D469" s="328"/>
      <c r="E469" s="59" t="s">
        <v>104</v>
      </c>
      <c r="F469" s="45" t="s">
        <v>103</v>
      </c>
      <c r="G469" s="320"/>
      <c r="H469" s="320"/>
      <c r="I469" s="91" t="s">
        <v>100</v>
      </c>
      <c r="J469" s="92" t="s">
        <v>99</v>
      </c>
      <c r="K469" s="324"/>
      <c r="L469" s="47" t="s">
        <v>101</v>
      </c>
      <c r="M469" s="61" t="s">
        <v>86</v>
      </c>
      <c r="N469" s="46"/>
    </row>
    <row r="470" spans="2:14" ht="15" customHeight="1" x14ac:dyDescent="0.25">
      <c r="B470" s="367" t="s">
        <v>186</v>
      </c>
      <c r="C470" s="48" t="s">
        <v>26</v>
      </c>
      <c r="D470" s="49" t="s">
        <v>92</v>
      </c>
      <c r="E470" s="49">
        <v>16</v>
      </c>
      <c r="F470" s="49">
        <v>1</v>
      </c>
      <c r="G470" s="50">
        <v>17</v>
      </c>
      <c r="H470" s="51">
        <f>G470*E470*F470</f>
        <v>272</v>
      </c>
      <c r="I470" s="52">
        <f>$G$480/(1*8*$K$428)</f>
        <v>6.25</v>
      </c>
      <c r="J470" s="52" t="s">
        <v>98</v>
      </c>
      <c r="K470" s="312">
        <f>((E470+E471)/2)/8</f>
        <v>2</v>
      </c>
      <c r="L470" s="53"/>
      <c r="M470" s="54"/>
      <c r="N470" s="50"/>
    </row>
    <row r="471" spans="2:14" x14ac:dyDescent="0.25">
      <c r="B471" s="367"/>
      <c r="C471" s="48" t="s">
        <v>27</v>
      </c>
      <c r="D471" s="49" t="s">
        <v>92</v>
      </c>
      <c r="E471" s="49">
        <v>16</v>
      </c>
      <c r="F471" s="49">
        <v>2</v>
      </c>
      <c r="G471" s="50">
        <v>12</v>
      </c>
      <c r="H471" s="51">
        <f t="shared" ref="H471:H476" si="46">G471*E471*F471</f>
        <v>384</v>
      </c>
      <c r="I471" s="52">
        <f>$G$480/(1*8*$K$428)</f>
        <v>6.25</v>
      </c>
      <c r="J471" s="52" t="s">
        <v>98</v>
      </c>
      <c r="K471" s="313"/>
      <c r="L471" s="44"/>
      <c r="M471" s="60"/>
      <c r="N471" s="50"/>
    </row>
    <row r="472" spans="2:14" x14ac:dyDescent="0.25">
      <c r="B472" s="367"/>
      <c r="C472" s="48" t="s">
        <v>187</v>
      </c>
      <c r="D472" s="49" t="s">
        <v>151</v>
      </c>
      <c r="E472" s="94">
        <f>ROUNDUP(((G480/1.54)*1.54),2)</f>
        <v>100</v>
      </c>
      <c r="F472" s="49">
        <v>1</v>
      </c>
      <c r="G472" s="50">
        <v>35</v>
      </c>
      <c r="H472" s="51">
        <f t="shared" si="46"/>
        <v>3500</v>
      </c>
      <c r="I472" s="52">
        <v>1.54</v>
      </c>
      <c r="J472" s="52" t="s">
        <v>188</v>
      </c>
      <c r="K472" s="313"/>
      <c r="L472" s="53"/>
      <c r="M472" s="54"/>
      <c r="N472" s="50"/>
    </row>
    <row r="473" spans="2:14" x14ac:dyDescent="0.25">
      <c r="B473" s="367"/>
      <c r="C473" s="48"/>
      <c r="D473" s="49"/>
      <c r="E473" s="49"/>
      <c r="F473" s="49"/>
      <c r="G473" s="50"/>
      <c r="H473" s="51">
        <f t="shared" si="46"/>
        <v>0</v>
      </c>
      <c r="I473" s="52"/>
      <c r="J473" s="52"/>
      <c r="K473" s="313"/>
      <c r="L473" s="53"/>
      <c r="M473" s="54"/>
      <c r="N473" s="50"/>
    </row>
    <row r="474" spans="2:14" x14ac:dyDescent="0.25">
      <c r="B474" s="367"/>
      <c r="C474" s="48"/>
      <c r="D474" s="49"/>
      <c r="E474" s="49"/>
      <c r="F474" s="49"/>
      <c r="G474" s="50"/>
      <c r="H474" s="51">
        <f t="shared" si="46"/>
        <v>0</v>
      </c>
      <c r="I474" s="52"/>
      <c r="J474" s="52"/>
      <c r="K474" s="313"/>
      <c r="L474" s="53"/>
      <c r="M474" s="54"/>
      <c r="N474" s="50"/>
    </row>
    <row r="475" spans="2:14" x14ac:dyDescent="0.25">
      <c r="B475" s="367"/>
      <c r="C475" s="48"/>
      <c r="D475" s="49"/>
      <c r="E475" s="49"/>
      <c r="F475" s="49"/>
      <c r="G475" s="50"/>
      <c r="H475" s="51">
        <f t="shared" si="46"/>
        <v>0</v>
      </c>
      <c r="I475" s="52"/>
      <c r="J475" s="52"/>
      <c r="K475" s="313"/>
      <c r="L475" s="53"/>
      <c r="M475" s="54"/>
      <c r="N475" s="50"/>
    </row>
    <row r="476" spans="2:14" x14ac:dyDescent="0.25">
      <c r="B476" s="367"/>
      <c r="C476" s="48"/>
      <c r="D476" s="49"/>
      <c r="E476" s="49"/>
      <c r="F476" s="49"/>
      <c r="G476" s="50"/>
      <c r="H476" s="51">
        <f t="shared" si="46"/>
        <v>0</v>
      </c>
      <c r="I476" s="52"/>
      <c r="J476" s="52"/>
      <c r="K476" s="313"/>
      <c r="L476" s="53"/>
      <c r="M476" s="54"/>
      <c r="N476" s="50"/>
    </row>
    <row r="477" spans="2:14" x14ac:dyDescent="0.25">
      <c r="B477" s="367"/>
      <c r="C477" s="48" t="s">
        <v>29</v>
      </c>
      <c r="D477" s="49" t="s">
        <v>88</v>
      </c>
      <c r="E477" s="49">
        <v>1</v>
      </c>
      <c r="F477" s="49">
        <v>2</v>
      </c>
      <c r="G477" s="50">
        <v>20</v>
      </c>
      <c r="H477" s="51">
        <f t="shared" ref="H477:H478" si="47">G477*E477*F477</f>
        <v>40</v>
      </c>
      <c r="I477" s="52"/>
      <c r="J477" s="52"/>
      <c r="K477" s="313"/>
      <c r="L477" s="53"/>
      <c r="M477" s="54"/>
      <c r="N477" s="50"/>
    </row>
    <row r="478" spans="2:14" x14ac:dyDescent="0.25">
      <c r="B478" s="367"/>
      <c r="C478" s="48" t="s">
        <v>22</v>
      </c>
      <c r="D478" s="49" t="s">
        <v>94</v>
      </c>
      <c r="E478" s="49">
        <v>1</v>
      </c>
      <c r="F478" s="49">
        <v>1</v>
      </c>
      <c r="G478" s="50">
        <v>50</v>
      </c>
      <c r="H478" s="51">
        <f t="shared" si="47"/>
        <v>50</v>
      </c>
      <c r="I478" s="52"/>
      <c r="J478" s="52"/>
      <c r="K478" s="313"/>
      <c r="L478" s="53"/>
      <c r="M478" s="54"/>
      <c r="N478" s="50"/>
    </row>
    <row r="479" spans="2:14" x14ac:dyDescent="0.25">
      <c r="B479" s="367"/>
      <c r="C479" s="315" t="s">
        <v>25</v>
      </c>
      <c r="D479" s="315"/>
      <c r="E479" s="315"/>
      <c r="F479" s="315"/>
      <c r="G479" s="315"/>
      <c r="H479" s="55">
        <f>SUM(H470:H478)</f>
        <v>4246</v>
      </c>
      <c r="I479" s="52"/>
      <c r="J479" s="52"/>
      <c r="K479" s="313"/>
      <c r="L479" s="53"/>
      <c r="M479" s="54"/>
      <c r="N479" s="50"/>
    </row>
    <row r="480" spans="2:14" x14ac:dyDescent="0.25">
      <c r="B480" s="367"/>
      <c r="C480" s="368" t="s">
        <v>24</v>
      </c>
      <c r="D480" s="369"/>
      <c r="E480" s="368" t="s">
        <v>97</v>
      </c>
      <c r="F480" s="369"/>
      <c r="G480" s="56">
        <v>100</v>
      </c>
      <c r="H480" s="55">
        <f>ROUNDUP((H479/G480),0)</f>
        <v>43</v>
      </c>
      <c r="I480" s="52"/>
      <c r="J480" s="52"/>
      <c r="K480" s="314"/>
      <c r="L480" s="57"/>
      <c r="M480" s="58"/>
      <c r="N480" s="50"/>
    </row>
    <row r="482" spans="2:14" x14ac:dyDescent="0.25">
      <c r="B482" s="327" t="s">
        <v>0</v>
      </c>
      <c r="C482" s="327" t="s">
        <v>19</v>
      </c>
      <c r="D482" s="327" t="s">
        <v>14</v>
      </c>
      <c r="E482" s="329" t="s">
        <v>1</v>
      </c>
      <c r="F482" s="330"/>
      <c r="G482" s="319" t="s">
        <v>20</v>
      </c>
      <c r="H482" s="319" t="s">
        <v>21</v>
      </c>
      <c r="I482" s="321" t="s">
        <v>96</v>
      </c>
      <c r="J482" s="322"/>
      <c r="K482" s="323" t="s">
        <v>84</v>
      </c>
      <c r="L482" s="325" t="s">
        <v>85</v>
      </c>
      <c r="M482" s="326"/>
      <c r="N482" s="46" t="s">
        <v>28</v>
      </c>
    </row>
    <row r="483" spans="2:14" x14ac:dyDescent="0.25">
      <c r="B483" s="328"/>
      <c r="C483" s="328"/>
      <c r="D483" s="328"/>
      <c r="E483" s="59" t="s">
        <v>104</v>
      </c>
      <c r="F483" s="45" t="s">
        <v>103</v>
      </c>
      <c r="G483" s="320"/>
      <c r="H483" s="320"/>
      <c r="I483" s="91" t="s">
        <v>100</v>
      </c>
      <c r="J483" s="92" t="s">
        <v>99</v>
      </c>
      <c r="K483" s="324"/>
      <c r="L483" s="47" t="s">
        <v>101</v>
      </c>
      <c r="M483" s="61" t="s">
        <v>86</v>
      </c>
      <c r="N483" s="46"/>
    </row>
    <row r="484" spans="2:14" x14ac:dyDescent="0.25">
      <c r="B484" s="367" t="s">
        <v>190</v>
      </c>
      <c r="C484" s="48" t="s">
        <v>26</v>
      </c>
      <c r="D484" s="49" t="s">
        <v>92</v>
      </c>
      <c r="E484" s="49">
        <v>16</v>
      </c>
      <c r="F484" s="49">
        <v>1</v>
      </c>
      <c r="G484" s="50">
        <v>17</v>
      </c>
      <c r="H484" s="51">
        <f>G484*E484*F484</f>
        <v>272</v>
      </c>
      <c r="I484" s="52">
        <f>$G$494/(1*8*$K$484)</f>
        <v>6.25</v>
      </c>
      <c r="J484" s="52" t="s">
        <v>98</v>
      </c>
      <c r="K484" s="312">
        <f>((E484+E485)/2)/8</f>
        <v>2</v>
      </c>
      <c r="L484" s="53"/>
      <c r="M484" s="54"/>
      <c r="N484" s="50"/>
    </row>
    <row r="485" spans="2:14" x14ac:dyDescent="0.25">
      <c r="B485" s="367"/>
      <c r="C485" s="48" t="s">
        <v>27</v>
      </c>
      <c r="D485" s="49" t="s">
        <v>92</v>
      </c>
      <c r="E485" s="49">
        <v>16</v>
      </c>
      <c r="F485" s="49">
        <v>2</v>
      </c>
      <c r="G485" s="50">
        <v>12</v>
      </c>
      <c r="H485" s="51">
        <f t="shared" ref="H485:H492" si="48">G485*E485*F485</f>
        <v>384</v>
      </c>
      <c r="I485" s="52">
        <f>$G$494/(1*8*$K$484)</f>
        <v>6.25</v>
      </c>
      <c r="J485" s="52" t="s">
        <v>98</v>
      </c>
      <c r="K485" s="313"/>
      <c r="L485" s="44"/>
      <c r="M485" s="60"/>
      <c r="N485" s="50"/>
    </row>
    <row r="486" spans="2:14" x14ac:dyDescent="0.25">
      <c r="B486" s="367"/>
      <c r="C486" s="48" t="s">
        <v>189</v>
      </c>
      <c r="D486" s="49" t="s">
        <v>151</v>
      </c>
      <c r="E486" s="94">
        <f>ROUNDUP(((G494/1.55)*1.55),2)</f>
        <v>100</v>
      </c>
      <c r="F486" s="49">
        <v>1</v>
      </c>
      <c r="G486" s="50">
        <v>25</v>
      </c>
      <c r="H486" s="51">
        <f t="shared" si="48"/>
        <v>2500</v>
      </c>
      <c r="I486" s="52">
        <v>1.55</v>
      </c>
      <c r="J486" s="52" t="s">
        <v>188</v>
      </c>
      <c r="K486" s="313"/>
      <c r="L486" s="53"/>
      <c r="M486" s="54"/>
      <c r="N486" s="50"/>
    </row>
    <row r="487" spans="2:14" x14ac:dyDescent="0.25">
      <c r="B487" s="367"/>
      <c r="C487" s="48"/>
      <c r="D487" s="49"/>
      <c r="E487" s="49"/>
      <c r="F487" s="49"/>
      <c r="G487" s="50"/>
      <c r="H487" s="51">
        <f t="shared" si="48"/>
        <v>0</v>
      </c>
      <c r="I487" s="52"/>
      <c r="J487" s="52"/>
      <c r="K487" s="313"/>
      <c r="L487" s="53"/>
      <c r="M487" s="54"/>
      <c r="N487" s="50"/>
    </row>
    <row r="488" spans="2:14" x14ac:dyDescent="0.25">
      <c r="B488" s="367"/>
      <c r="C488" s="48"/>
      <c r="D488" s="49"/>
      <c r="E488" s="49"/>
      <c r="F488" s="49"/>
      <c r="G488" s="50"/>
      <c r="H488" s="51">
        <f t="shared" si="48"/>
        <v>0</v>
      </c>
      <c r="I488" s="52"/>
      <c r="J488" s="52"/>
      <c r="K488" s="313"/>
      <c r="L488" s="53"/>
      <c r="M488" s="54"/>
      <c r="N488" s="50"/>
    </row>
    <row r="489" spans="2:14" x14ac:dyDescent="0.25">
      <c r="B489" s="367"/>
      <c r="C489" s="48"/>
      <c r="D489" s="49"/>
      <c r="E489" s="49"/>
      <c r="F489" s="49"/>
      <c r="G489" s="50"/>
      <c r="H489" s="51">
        <f t="shared" si="48"/>
        <v>0</v>
      </c>
      <c r="I489" s="52"/>
      <c r="J489" s="52"/>
      <c r="K489" s="313"/>
      <c r="L489" s="53"/>
      <c r="M489" s="54"/>
      <c r="N489" s="50"/>
    </row>
    <row r="490" spans="2:14" x14ac:dyDescent="0.25">
      <c r="B490" s="367"/>
      <c r="C490" s="48"/>
      <c r="D490" s="49"/>
      <c r="E490" s="49"/>
      <c r="F490" s="49"/>
      <c r="G490" s="50"/>
      <c r="H490" s="51">
        <f t="shared" si="48"/>
        <v>0</v>
      </c>
      <c r="I490" s="52"/>
      <c r="J490" s="52"/>
      <c r="K490" s="313"/>
      <c r="L490" s="53"/>
      <c r="M490" s="54"/>
      <c r="N490" s="50"/>
    </row>
    <row r="491" spans="2:14" x14ac:dyDescent="0.25">
      <c r="B491" s="367"/>
      <c r="C491" s="48" t="s">
        <v>29</v>
      </c>
      <c r="D491" s="49" t="s">
        <v>88</v>
      </c>
      <c r="E491" s="49">
        <v>1</v>
      </c>
      <c r="F491" s="49">
        <v>2</v>
      </c>
      <c r="G491" s="50">
        <v>20</v>
      </c>
      <c r="H491" s="51">
        <f t="shared" si="48"/>
        <v>40</v>
      </c>
      <c r="I491" s="52"/>
      <c r="J491" s="52"/>
      <c r="K491" s="313"/>
      <c r="L491" s="53"/>
      <c r="M491" s="54"/>
      <c r="N491" s="50"/>
    </row>
    <row r="492" spans="2:14" x14ac:dyDescent="0.25">
      <c r="B492" s="367"/>
      <c r="C492" s="48" t="s">
        <v>22</v>
      </c>
      <c r="D492" s="49" t="s">
        <v>94</v>
      </c>
      <c r="E492" s="49">
        <v>1</v>
      </c>
      <c r="F492" s="49">
        <v>1</v>
      </c>
      <c r="G492" s="50">
        <v>50</v>
      </c>
      <c r="H492" s="51">
        <f t="shared" si="48"/>
        <v>50</v>
      </c>
      <c r="I492" s="52"/>
      <c r="J492" s="52"/>
      <c r="K492" s="313"/>
      <c r="L492" s="53"/>
      <c r="M492" s="54"/>
      <c r="N492" s="50"/>
    </row>
    <row r="493" spans="2:14" x14ac:dyDescent="0.25">
      <c r="B493" s="367"/>
      <c r="C493" s="315" t="s">
        <v>25</v>
      </c>
      <c r="D493" s="315"/>
      <c r="E493" s="315"/>
      <c r="F493" s="315"/>
      <c r="G493" s="315"/>
      <c r="H493" s="55">
        <f>SUM(H484:H492)</f>
        <v>3246</v>
      </c>
      <c r="I493" s="52"/>
      <c r="J493" s="52"/>
      <c r="K493" s="313"/>
      <c r="L493" s="53"/>
      <c r="M493" s="54"/>
      <c r="N493" s="50"/>
    </row>
    <row r="494" spans="2:14" x14ac:dyDescent="0.25">
      <c r="B494" s="367"/>
      <c r="C494" s="368" t="s">
        <v>24</v>
      </c>
      <c r="D494" s="369"/>
      <c r="E494" s="368" t="s">
        <v>97</v>
      </c>
      <c r="F494" s="369"/>
      <c r="G494" s="56">
        <v>100</v>
      </c>
      <c r="H494" s="55">
        <f>ROUNDUP((H493/G494),0)</f>
        <v>33</v>
      </c>
      <c r="I494" s="52"/>
      <c r="J494" s="52"/>
      <c r="K494" s="314"/>
      <c r="L494" s="57"/>
      <c r="M494" s="58"/>
      <c r="N494" s="50"/>
    </row>
    <row r="496" spans="2:14" x14ac:dyDescent="0.25">
      <c r="B496" s="327" t="s">
        <v>0</v>
      </c>
      <c r="C496" s="327" t="s">
        <v>19</v>
      </c>
      <c r="D496" s="327" t="s">
        <v>14</v>
      </c>
      <c r="E496" s="329" t="s">
        <v>1</v>
      </c>
      <c r="F496" s="330"/>
      <c r="G496" s="319" t="s">
        <v>20</v>
      </c>
      <c r="H496" s="319" t="s">
        <v>21</v>
      </c>
      <c r="I496" s="321" t="s">
        <v>96</v>
      </c>
      <c r="J496" s="322"/>
      <c r="K496" s="323" t="s">
        <v>84</v>
      </c>
      <c r="L496" s="325" t="s">
        <v>85</v>
      </c>
      <c r="M496" s="326"/>
      <c r="N496" s="46" t="s">
        <v>28</v>
      </c>
    </row>
    <row r="497" spans="2:14" x14ac:dyDescent="0.25">
      <c r="B497" s="328"/>
      <c r="C497" s="328"/>
      <c r="D497" s="328"/>
      <c r="E497" s="59" t="s">
        <v>104</v>
      </c>
      <c r="F497" s="45" t="s">
        <v>103</v>
      </c>
      <c r="G497" s="320"/>
      <c r="H497" s="320"/>
      <c r="I497" s="91" t="s">
        <v>100</v>
      </c>
      <c r="J497" s="92" t="s">
        <v>99</v>
      </c>
      <c r="K497" s="324"/>
      <c r="L497" s="47" t="s">
        <v>101</v>
      </c>
      <c r="M497" s="61" t="s">
        <v>86</v>
      </c>
      <c r="N497" s="46"/>
    </row>
    <row r="498" spans="2:14" x14ac:dyDescent="0.25">
      <c r="B498" s="367" t="s">
        <v>191</v>
      </c>
      <c r="C498" s="48" t="s">
        <v>26</v>
      </c>
      <c r="D498" s="49" t="s">
        <v>92</v>
      </c>
      <c r="E498" s="49">
        <v>24</v>
      </c>
      <c r="F498" s="49">
        <v>1</v>
      </c>
      <c r="G498" s="50">
        <v>17</v>
      </c>
      <c r="H498" s="51">
        <f>G498*E498*F498</f>
        <v>408</v>
      </c>
      <c r="I498" s="52">
        <f>$G$424/(1*8*$K$428)</f>
        <v>6.25</v>
      </c>
      <c r="J498" s="52" t="s">
        <v>137</v>
      </c>
      <c r="K498" s="312">
        <f>((E498+E499)/2)/8</f>
        <v>3</v>
      </c>
      <c r="L498" s="53"/>
      <c r="M498" s="54"/>
      <c r="N498" s="50"/>
    </row>
    <row r="499" spans="2:14" x14ac:dyDescent="0.25">
      <c r="B499" s="367"/>
      <c r="C499" s="48" t="s">
        <v>27</v>
      </c>
      <c r="D499" s="49" t="s">
        <v>92</v>
      </c>
      <c r="E499" s="49">
        <v>24</v>
      </c>
      <c r="F499" s="49">
        <v>1</v>
      </c>
      <c r="G499" s="50">
        <v>12</v>
      </c>
      <c r="H499" s="51">
        <f t="shared" ref="H499:H506" si="49">G499*E499*F499</f>
        <v>288</v>
      </c>
      <c r="I499" s="52">
        <f>$G$424/(1*8*$K$498)</f>
        <v>4.166666666666667</v>
      </c>
      <c r="J499" s="52" t="s">
        <v>137</v>
      </c>
      <c r="K499" s="313"/>
      <c r="L499" s="44"/>
      <c r="M499" s="60"/>
      <c r="N499" s="50"/>
    </row>
    <row r="500" spans="2:14" ht="30" x14ac:dyDescent="0.25">
      <c r="B500" s="367"/>
      <c r="C500" s="48" t="s">
        <v>192</v>
      </c>
      <c r="D500" s="49" t="s">
        <v>88</v>
      </c>
      <c r="E500" s="94">
        <f>ROUNDUP((G508/I500),2)</f>
        <v>8.89</v>
      </c>
      <c r="F500" s="49">
        <v>1</v>
      </c>
      <c r="G500" s="50">
        <v>50</v>
      </c>
      <c r="H500" s="51">
        <f t="shared" si="49"/>
        <v>444.5</v>
      </c>
      <c r="I500" s="52">
        <v>11.25</v>
      </c>
      <c r="J500" s="52" t="s">
        <v>193</v>
      </c>
      <c r="K500" s="313"/>
      <c r="L500" s="53"/>
      <c r="M500" s="54"/>
      <c r="N500" s="50"/>
    </row>
    <row r="501" spans="2:14" ht="30" x14ac:dyDescent="0.25">
      <c r="B501" s="367"/>
      <c r="C501" s="48" t="s">
        <v>194</v>
      </c>
      <c r="D501" s="49" t="s">
        <v>88</v>
      </c>
      <c r="E501" s="49">
        <v>5</v>
      </c>
      <c r="F501" s="49">
        <v>1</v>
      </c>
      <c r="G501" s="50">
        <v>11.39</v>
      </c>
      <c r="H501" s="51">
        <f t="shared" si="49"/>
        <v>56.95</v>
      </c>
      <c r="I501" s="52"/>
      <c r="J501" s="52"/>
      <c r="K501" s="313"/>
      <c r="L501" s="53"/>
      <c r="M501" s="54"/>
      <c r="N501" s="50"/>
    </row>
    <row r="502" spans="2:14" x14ac:dyDescent="0.25">
      <c r="B502" s="367"/>
      <c r="C502" s="48" t="s">
        <v>195</v>
      </c>
      <c r="D502" s="49" t="s">
        <v>88</v>
      </c>
      <c r="E502" s="49">
        <v>1</v>
      </c>
      <c r="F502" s="49">
        <v>3</v>
      </c>
      <c r="G502" s="50">
        <v>15</v>
      </c>
      <c r="H502" s="51">
        <f t="shared" ref="H502" si="50">G502*E502*F502</f>
        <v>45</v>
      </c>
      <c r="I502" s="52"/>
      <c r="J502" s="52"/>
      <c r="K502" s="313"/>
      <c r="L502" s="53"/>
      <c r="M502" s="54"/>
      <c r="N502" s="50"/>
    </row>
    <row r="503" spans="2:14" x14ac:dyDescent="0.25">
      <c r="B503" s="367"/>
      <c r="C503" s="48"/>
      <c r="D503" s="49"/>
      <c r="E503" s="49"/>
      <c r="F503" s="49"/>
      <c r="G503" s="50"/>
      <c r="H503" s="51">
        <f t="shared" si="49"/>
        <v>0</v>
      </c>
      <c r="I503" s="52"/>
      <c r="J503" s="52"/>
      <c r="K503" s="313"/>
      <c r="L503" s="53"/>
      <c r="M503" s="54"/>
      <c r="N503" s="50"/>
    </row>
    <row r="504" spans="2:14" x14ac:dyDescent="0.25">
      <c r="B504" s="367"/>
      <c r="C504" s="48"/>
      <c r="D504" s="49"/>
      <c r="E504" s="49"/>
      <c r="F504" s="49"/>
      <c r="G504" s="50"/>
      <c r="H504" s="51">
        <f t="shared" si="49"/>
        <v>0</v>
      </c>
      <c r="I504" s="52"/>
      <c r="J504" s="52"/>
      <c r="K504" s="313"/>
      <c r="L504" s="53"/>
      <c r="M504" s="54"/>
      <c r="N504" s="50"/>
    </row>
    <row r="505" spans="2:14" x14ac:dyDescent="0.25">
      <c r="B505" s="367"/>
      <c r="C505" s="48" t="s">
        <v>29</v>
      </c>
      <c r="D505" s="49" t="s">
        <v>88</v>
      </c>
      <c r="E505" s="49">
        <v>1</v>
      </c>
      <c r="F505" s="49">
        <v>3</v>
      </c>
      <c r="G505" s="50">
        <v>20</v>
      </c>
      <c r="H505" s="51">
        <f t="shared" si="49"/>
        <v>60</v>
      </c>
      <c r="I505" s="52"/>
      <c r="J505" s="52"/>
      <c r="K505" s="313"/>
      <c r="L505" s="53"/>
      <c r="M505" s="54"/>
      <c r="N505" s="50"/>
    </row>
    <row r="506" spans="2:14" x14ac:dyDescent="0.25">
      <c r="B506" s="367"/>
      <c r="C506" s="48" t="s">
        <v>22</v>
      </c>
      <c r="D506" s="49" t="s">
        <v>94</v>
      </c>
      <c r="E506" s="49">
        <v>1</v>
      </c>
      <c r="F506" s="49">
        <v>1</v>
      </c>
      <c r="G506" s="50">
        <v>50</v>
      </c>
      <c r="H506" s="51">
        <f t="shared" si="49"/>
        <v>50</v>
      </c>
      <c r="I506" s="52"/>
      <c r="J506" s="52"/>
      <c r="K506" s="313"/>
      <c r="L506" s="53"/>
      <c r="M506" s="54"/>
      <c r="N506" s="50"/>
    </row>
    <row r="507" spans="2:14" x14ac:dyDescent="0.25">
      <c r="B507" s="367"/>
      <c r="C507" s="315" t="s">
        <v>25</v>
      </c>
      <c r="D507" s="315"/>
      <c r="E507" s="315"/>
      <c r="F507" s="315"/>
      <c r="G507" s="315"/>
      <c r="H507" s="55">
        <f>SUM(H498:H506)</f>
        <v>1352.45</v>
      </c>
      <c r="I507" s="52"/>
      <c r="J507" s="52"/>
      <c r="K507" s="313"/>
      <c r="L507" s="53"/>
      <c r="M507" s="54"/>
      <c r="N507" s="50"/>
    </row>
    <row r="508" spans="2:14" x14ac:dyDescent="0.25">
      <c r="B508" s="367"/>
      <c r="C508" s="368" t="s">
        <v>183</v>
      </c>
      <c r="D508" s="369"/>
      <c r="E508" s="368" t="s">
        <v>185</v>
      </c>
      <c r="F508" s="369"/>
      <c r="G508" s="56">
        <v>100</v>
      </c>
      <c r="H508" s="55">
        <f>ROUNDUP((H507/G508),0)</f>
        <v>14</v>
      </c>
      <c r="I508" s="52"/>
      <c r="J508" s="52"/>
      <c r="K508" s="314"/>
      <c r="L508" s="57"/>
      <c r="M508" s="58"/>
      <c r="N508" s="50"/>
    </row>
    <row r="510" spans="2:14" x14ac:dyDescent="0.25">
      <c r="B510" s="327" t="s">
        <v>0</v>
      </c>
      <c r="C510" s="327" t="s">
        <v>19</v>
      </c>
      <c r="D510" s="327" t="s">
        <v>14</v>
      </c>
      <c r="E510" s="329" t="s">
        <v>1</v>
      </c>
      <c r="F510" s="330"/>
      <c r="G510" s="319" t="s">
        <v>20</v>
      </c>
      <c r="H510" s="319" t="s">
        <v>21</v>
      </c>
      <c r="I510" s="321" t="s">
        <v>96</v>
      </c>
      <c r="J510" s="322"/>
      <c r="K510" s="323" t="s">
        <v>84</v>
      </c>
      <c r="L510" s="325" t="s">
        <v>85</v>
      </c>
      <c r="M510" s="326"/>
      <c r="N510" s="46" t="s">
        <v>28</v>
      </c>
    </row>
    <row r="511" spans="2:14" x14ac:dyDescent="0.25">
      <c r="B511" s="328"/>
      <c r="C511" s="328"/>
      <c r="D511" s="328"/>
      <c r="E511" s="59" t="s">
        <v>104</v>
      </c>
      <c r="F511" s="45" t="s">
        <v>103</v>
      </c>
      <c r="G511" s="320"/>
      <c r="H511" s="320"/>
      <c r="I511" s="91" t="s">
        <v>100</v>
      </c>
      <c r="J511" s="92" t="s">
        <v>99</v>
      </c>
      <c r="K511" s="324"/>
      <c r="L511" s="47" t="s">
        <v>101</v>
      </c>
      <c r="M511" s="61" t="s">
        <v>86</v>
      </c>
      <c r="N511" s="46"/>
    </row>
    <row r="512" spans="2:14" x14ac:dyDescent="0.25">
      <c r="B512" s="367" t="s">
        <v>196</v>
      </c>
      <c r="C512" s="48" t="s">
        <v>26</v>
      </c>
      <c r="D512" s="49" t="s">
        <v>92</v>
      </c>
      <c r="E512" s="49">
        <v>24</v>
      </c>
      <c r="F512" s="49">
        <v>1</v>
      </c>
      <c r="G512" s="50">
        <v>17</v>
      </c>
      <c r="H512" s="51">
        <f>G512*E512*F512</f>
        <v>408</v>
      </c>
      <c r="I512" s="52">
        <f>$G$424/(1*8*$K$428)</f>
        <v>6.25</v>
      </c>
      <c r="J512" s="52" t="s">
        <v>137</v>
      </c>
      <c r="K512" s="312">
        <f>((E512+E513)/2)/8</f>
        <v>3</v>
      </c>
      <c r="L512" s="53"/>
      <c r="M512" s="54"/>
      <c r="N512" s="50"/>
    </row>
    <row r="513" spans="2:14" x14ac:dyDescent="0.25">
      <c r="B513" s="367"/>
      <c r="C513" s="48" t="s">
        <v>27</v>
      </c>
      <c r="D513" s="49" t="s">
        <v>92</v>
      </c>
      <c r="E513" s="49">
        <v>24</v>
      </c>
      <c r="F513" s="49">
        <v>1</v>
      </c>
      <c r="G513" s="50">
        <v>12</v>
      </c>
      <c r="H513" s="51">
        <f t="shared" ref="H513:H520" si="51">G513*E513*F513</f>
        <v>288</v>
      </c>
      <c r="I513" s="52">
        <f>$G$424/(1*8*$K$498)</f>
        <v>4.166666666666667</v>
      </c>
      <c r="J513" s="52" t="s">
        <v>137</v>
      </c>
      <c r="K513" s="313"/>
      <c r="L513" s="44"/>
      <c r="M513" s="60"/>
      <c r="N513" s="50"/>
    </row>
    <row r="514" spans="2:14" ht="30" x14ac:dyDescent="0.25">
      <c r="B514" s="367"/>
      <c r="C514" s="48" t="s">
        <v>197</v>
      </c>
      <c r="D514" s="49" t="s">
        <v>88</v>
      </c>
      <c r="E514" s="94">
        <f>ROUNDUP((G522/I514),2)</f>
        <v>45.46</v>
      </c>
      <c r="F514" s="49">
        <v>1</v>
      </c>
      <c r="G514" s="50">
        <v>7.95</v>
      </c>
      <c r="H514" s="51">
        <f t="shared" si="51"/>
        <v>361.40700000000004</v>
      </c>
      <c r="I514" s="52">
        <v>2.2000000000000002</v>
      </c>
      <c r="J514" s="52" t="s">
        <v>88</v>
      </c>
      <c r="K514" s="313"/>
      <c r="L514" s="53"/>
      <c r="M514" s="54"/>
      <c r="N514" s="50"/>
    </row>
    <row r="515" spans="2:14" ht="30" x14ac:dyDescent="0.25">
      <c r="B515" s="367"/>
      <c r="C515" s="48" t="s">
        <v>194</v>
      </c>
      <c r="D515" s="49" t="s">
        <v>88</v>
      </c>
      <c r="E515" s="49">
        <v>5</v>
      </c>
      <c r="F515" s="49">
        <v>1</v>
      </c>
      <c r="G515" s="50">
        <v>11.39</v>
      </c>
      <c r="H515" s="51">
        <f t="shared" si="51"/>
        <v>56.95</v>
      </c>
      <c r="I515" s="52"/>
      <c r="J515" s="52"/>
      <c r="K515" s="313"/>
      <c r="L515" s="53"/>
      <c r="M515" s="54"/>
      <c r="N515" s="50"/>
    </row>
    <row r="516" spans="2:14" x14ac:dyDescent="0.25">
      <c r="B516" s="367"/>
      <c r="C516" s="48" t="s">
        <v>195</v>
      </c>
      <c r="D516" s="49" t="s">
        <v>88</v>
      </c>
      <c r="E516" s="49">
        <v>1</v>
      </c>
      <c r="F516" s="49">
        <v>3</v>
      </c>
      <c r="G516" s="50">
        <v>15</v>
      </c>
      <c r="H516" s="51">
        <f t="shared" si="51"/>
        <v>45</v>
      </c>
      <c r="I516" s="52"/>
      <c r="J516" s="52"/>
      <c r="K516" s="313"/>
      <c r="L516" s="53"/>
      <c r="M516" s="54"/>
      <c r="N516" s="50"/>
    </row>
    <row r="517" spans="2:14" x14ac:dyDescent="0.25">
      <c r="B517" s="367"/>
      <c r="C517" s="48"/>
      <c r="D517" s="49"/>
      <c r="E517" s="49"/>
      <c r="F517" s="49"/>
      <c r="G517" s="50"/>
      <c r="H517" s="51">
        <f t="shared" si="51"/>
        <v>0</v>
      </c>
      <c r="I517" s="52"/>
      <c r="J517" s="52"/>
      <c r="K517" s="313"/>
      <c r="L517" s="53"/>
      <c r="M517" s="54"/>
      <c r="N517" s="50"/>
    </row>
    <row r="518" spans="2:14" x14ac:dyDescent="0.25">
      <c r="B518" s="367"/>
      <c r="C518" s="48"/>
      <c r="D518" s="49"/>
      <c r="E518" s="49"/>
      <c r="F518" s="49"/>
      <c r="G518" s="50"/>
      <c r="H518" s="51">
        <f t="shared" si="51"/>
        <v>0</v>
      </c>
      <c r="I518" s="52"/>
      <c r="J518" s="52"/>
      <c r="K518" s="313"/>
      <c r="L518" s="53"/>
      <c r="M518" s="54"/>
      <c r="N518" s="50"/>
    </row>
    <row r="519" spans="2:14" x14ac:dyDescent="0.25">
      <c r="B519" s="367"/>
      <c r="C519" s="48" t="s">
        <v>29</v>
      </c>
      <c r="D519" s="49" t="s">
        <v>88</v>
      </c>
      <c r="E519" s="49">
        <v>1</v>
      </c>
      <c r="F519" s="49">
        <v>3</v>
      </c>
      <c r="G519" s="50">
        <v>20</v>
      </c>
      <c r="H519" s="51">
        <f t="shared" si="51"/>
        <v>60</v>
      </c>
      <c r="I519" s="52"/>
      <c r="J519" s="52"/>
      <c r="K519" s="313"/>
      <c r="L519" s="53"/>
      <c r="M519" s="54"/>
      <c r="N519" s="50"/>
    </row>
    <row r="520" spans="2:14" x14ac:dyDescent="0.25">
      <c r="B520" s="367"/>
      <c r="C520" s="48" t="s">
        <v>22</v>
      </c>
      <c r="D520" s="49" t="s">
        <v>94</v>
      </c>
      <c r="E520" s="49">
        <v>1</v>
      </c>
      <c r="F520" s="49">
        <v>1</v>
      </c>
      <c r="G520" s="50">
        <v>50</v>
      </c>
      <c r="H520" s="51">
        <f t="shared" si="51"/>
        <v>50</v>
      </c>
      <c r="I520" s="52"/>
      <c r="J520" s="52"/>
      <c r="K520" s="313"/>
      <c r="L520" s="53"/>
      <c r="M520" s="54"/>
      <c r="N520" s="50"/>
    </row>
    <row r="521" spans="2:14" x14ac:dyDescent="0.25">
      <c r="B521" s="367"/>
      <c r="C521" s="315" t="s">
        <v>25</v>
      </c>
      <c r="D521" s="315"/>
      <c r="E521" s="315"/>
      <c r="F521" s="315"/>
      <c r="G521" s="315"/>
      <c r="H521" s="55">
        <f>SUM(H512:H520)</f>
        <v>1269.3570000000002</v>
      </c>
      <c r="I521" s="52"/>
      <c r="J521" s="52"/>
      <c r="K521" s="313"/>
      <c r="L521" s="53"/>
      <c r="M521" s="54"/>
      <c r="N521" s="50"/>
    </row>
    <row r="522" spans="2:14" x14ac:dyDescent="0.25">
      <c r="B522" s="367"/>
      <c r="C522" s="368" t="s">
        <v>183</v>
      </c>
      <c r="D522" s="369"/>
      <c r="E522" s="368" t="s">
        <v>185</v>
      </c>
      <c r="F522" s="369"/>
      <c r="G522" s="56">
        <v>100</v>
      </c>
      <c r="H522" s="55">
        <f>ROUNDUP((H521/G522),0)</f>
        <v>13</v>
      </c>
      <c r="I522" s="52"/>
      <c r="J522" s="52"/>
      <c r="K522" s="314"/>
      <c r="L522" s="57"/>
      <c r="M522" s="58"/>
      <c r="N522" s="50"/>
    </row>
    <row r="536" spans="9:14" x14ac:dyDescent="0.25">
      <c r="I536" s="44"/>
      <c r="J536" s="44"/>
      <c r="K536" s="44"/>
      <c r="L536" s="44"/>
      <c r="M536" s="44"/>
      <c r="N536" s="44"/>
    </row>
    <row r="537" spans="9:14" x14ac:dyDescent="0.25">
      <c r="I537" s="44"/>
      <c r="J537" s="44"/>
      <c r="K537" s="44"/>
      <c r="L537" s="44"/>
      <c r="M537" s="44"/>
      <c r="N537" s="44"/>
    </row>
    <row r="538" spans="9:14" x14ac:dyDescent="0.25">
      <c r="I538" s="44"/>
      <c r="J538" s="44"/>
      <c r="K538" s="44"/>
      <c r="L538" s="44"/>
      <c r="M538" s="44"/>
      <c r="N538" s="44"/>
    </row>
    <row r="539" spans="9:14" x14ac:dyDescent="0.25">
      <c r="I539" s="44"/>
      <c r="J539" s="44"/>
      <c r="K539" s="44"/>
      <c r="L539" s="44"/>
      <c r="M539" s="44"/>
      <c r="N539" s="44"/>
    </row>
    <row r="540" spans="9:14" x14ac:dyDescent="0.25">
      <c r="I540" s="44"/>
      <c r="J540" s="44"/>
      <c r="K540" s="44"/>
      <c r="L540" s="44"/>
      <c r="M540" s="44"/>
      <c r="N540" s="44"/>
    </row>
    <row r="541" spans="9:14" x14ac:dyDescent="0.25">
      <c r="I541" s="44"/>
      <c r="J541" s="44"/>
      <c r="K541" s="44"/>
      <c r="L541" s="44"/>
      <c r="M541" s="44"/>
      <c r="N541" s="44"/>
    </row>
    <row r="542" spans="9:14" x14ac:dyDescent="0.25">
      <c r="I542" s="44"/>
      <c r="J542" s="44"/>
      <c r="K542" s="44"/>
      <c r="L542" s="44"/>
      <c r="M542" s="44"/>
      <c r="N542" s="44"/>
    </row>
    <row r="543" spans="9:14" x14ac:dyDescent="0.25">
      <c r="I543" s="44"/>
      <c r="J543" s="44"/>
      <c r="K543" s="44"/>
      <c r="L543" s="44"/>
      <c r="M543" s="44"/>
      <c r="N543" s="44"/>
    </row>
    <row r="544" spans="9:14" x14ac:dyDescent="0.25">
      <c r="I544" s="44"/>
      <c r="J544" s="44"/>
      <c r="K544" s="44"/>
      <c r="L544" s="44"/>
      <c r="M544" s="44"/>
      <c r="N544" s="44"/>
    </row>
    <row r="545" spans="9:14" x14ac:dyDescent="0.25">
      <c r="I545" s="44"/>
      <c r="J545" s="44"/>
      <c r="K545" s="44"/>
      <c r="L545" s="44"/>
      <c r="M545" s="44"/>
      <c r="N545" s="44"/>
    </row>
    <row r="546" spans="9:14" x14ac:dyDescent="0.25">
      <c r="I546" s="44"/>
      <c r="J546" s="44"/>
      <c r="K546" s="44"/>
      <c r="L546" s="44"/>
      <c r="M546" s="44"/>
      <c r="N546" s="44"/>
    </row>
    <row r="547" spans="9:14" x14ac:dyDescent="0.25">
      <c r="I547" s="44"/>
      <c r="J547" s="44"/>
      <c r="K547" s="44"/>
      <c r="L547" s="44"/>
      <c r="M547" s="44"/>
      <c r="N547" s="44"/>
    </row>
    <row r="548" spans="9:14" x14ac:dyDescent="0.25">
      <c r="I548" s="44"/>
      <c r="J548" s="44"/>
      <c r="K548" s="44"/>
      <c r="L548" s="44"/>
      <c r="M548" s="44"/>
      <c r="N548" s="44"/>
    </row>
    <row r="549" spans="9:14" x14ac:dyDescent="0.25">
      <c r="I549" s="44"/>
      <c r="J549" s="44"/>
      <c r="K549" s="44"/>
      <c r="L549" s="44"/>
      <c r="M549" s="44"/>
      <c r="N549" s="44"/>
    </row>
  </sheetData>
  <mergeCells count="518">
    <mergeCell ref="K186:K187"/>
    <mergeCell ref="L186:M186"/>
    <mergeCell ref="B188:B198"/>
    <mergeCell ref="K188:K198"/>
    <mergeCell ref="C197:G197"/>
    <mergeCell ref="C198:D198"/>
    <mergeCell ref="E198:F198"/>
    <mergeCell ref="B186:B187"/>
    <mergeCell ref="C186:C187"/>
    <mergeCell ref="D186:D187"/>
    <mergeCell ref="E186:F186"/>
    <mergeCell ref="G186:G187"/>
    <mergeCell ref="K172:K173"/>
    <mergeCell ref="L172:M172"/>
    <mergeCell ref="B174:B184"/>
    <mergeCell ref="K174:K184"/>
    <mergeCell ref="C183:G183"/>
    <mergeCell ref="C184:D184"/>
    <mergeCell ref="E184:F184"/>
    <mergeCell ref="B172:B173"/>
    <mergeCell ref="C172:C173"/>
    <mergeCell ref="D172:D173"/>
    <mergeCell ref="E172:F172"/>
    <mergeCell ref="G172:G173"/>
    <mergeCell ref="H256:H257"/>
    <mergeCell ref="I256:J256"/>
    <mergeCell ref="K256:K257"/>
    <mergeCell ref="L256:M256"/>
    <mergeCell ref="B258:B268"/>
    <mergeCell ref="K258:K268"/>
    <mergeCell ref="C267:G267"/>
    <mergeCell ref="C268:D268"/>
    <mergeCell ref="E268:F268"/>
    <mergeCell ref="B256:B257"/>
    <mergeCell ref="C256:C257"/>
    <mergeCell ref="D256:D257"/>
    <mergeCell ref="E256:F256"/>
    <mergeCell ref="G256:G257"/>
    <mergeCell ref="H242:H243"/>
    <mergeCell ref="I242:J242"/>
    <mergeCell ref="K242:K243"/>
    <mergeCell ref="L242:M242"/>
    <mergeCell ref="B244:B254"/>
    <mergeCell ref="K244:K254"/>
    <mergeCell ref="C253:G253"/>
    <mergeCell ref="C254:D254"/>
    <mergeCell ref="E254:F254"/>
    <mergeCell ref="B242:B243"/>
    <mergeCell ref="C242:C243"/>
    <mergeCell ref="D242:D243"/>
    <mergeCell ref="E242:F242"/>
    <mergeCell ref="G242:G243"/>
    <mergeCell ref="H144:H145"/>
    <mergeCell ref="I144:J144"/>
    <mergeCell ref="K144:K145"/>
    <mergeCell ref="L144:M144"/>
    <mergeCell ref="B146:B156"/>
    <mergeCell ref="K146:K156"/>
    <mergeCell ref="C155:G155"/>
    <mergeCell ref="C156:D156"/>
    <mergeCell ref="E156:F156"/>
    <mergeCell ref="B144:B145"/>
    <mergeCell ref="C144:C145"/>
    <mergeCell ref="D144:D145"/>
    <mergeCell ref="E144:F144"/>
    <mergeCell ref="G144:G145"/>
    <mergeCell ref="K228:K229"/>
    <mergeCell ref="L228:M228"/>
    <mergeCell ref="B230:B240"/>
    <mergeCell ref="K230:K240"/>
    <mergeCell ref="C239:G239"/>
    <mergeCell ref="C240:D240"/>
    <mergeCell ref="E240:F240"/>
    <mergeCell ref="B228:B229"/>
    <mergeCell ref="C228:C229"/>
    <mergeCell ref="D228:D229"/>
    <mergeCell ref="E228:F228"/>
    <mergeCell ref="G228:G229"/>
    <mergeCell ref="E158:F158"/>
    <mergeCell ref="G158:G159"/>
    <mergeCell ref="C214:C215"/>
    <mergeCell ref="D214:D215"/>
    <mergeCell ref="E214:F214"/>
    <mergeCell ref="G214:G215"/>
    <mergeCell ref="H228:H229"/>
    <mergeCell ref="I228:J228"/>
    <mergeCell ref="H172:H173"/>
    <mergeCell ref="I172:J172"/>
    <mergeCell ref="H186:H187"/>
    <mergeCell ref="I186:J186"/>
    <mergeCell ref="E226:F226"/>
    <mergeCell ref="H4:H5"/>
    <mergeCell ref="I4:J4"/>
    <mergeCell ref="K4:K5"/>
    <mergeCell ref="L4:M4"/>
    <mergeCell ref="B6:B16"/>
    <mergeCell ref="K6:K16"/>
    <mergeCell ref="C15:G15"/>
    <mergeCell ref="C16:D16"/>
    <mergeCell ref="E16:F16"/>
    <mergeCell ref="B4:B5"/>
    <mergeCell ref="C4:C5"/>
    <mergeCell ref="D4:D5"/>
    <mergeCell ref="E4:F4"/>
    <mergeCell ref="G4:G5"/>
    <mergeCell ref="L426:M426"/>
    <mergeCell ref="B428:B438"/>
    <mergeCell ref="K428:K438"/>
    <mergeCell ref="C437:G437"/>
    <mergeCell ref="C438:D438"/>
    <mergeCell ref="E438:F438"/>
    <mergeCell ref="B426:B427"/>
    <mergeCell ref="C426:C427"/>
    <mergeCell ref="D426:D427"/>
    <mergeCell ref="E426:F426"/>
    <mergeCell ref="G426:G427"/>
    <mergeCell ref="H426:H427"/>
    <mergeCell ref="B46:B47"/>
    <mergeCell ref="G46:G47"/>
    <mergeCell ref="H46:H47"/>
    <mergeCell ref="K46:K47"/>
    <mergeCell ref="E58:F58"/>
    <mergeCell ref="C353:G353"/>
    <mergeCell ref="C58:D58"/>
    <mergeCell ref="B342:B343"/>
    <mergeCell ref="C342:C343"/>
    <mergeCell ref="D342:D343"/>
    <mergeCell ref="E342:F342"/>
    <mergeCell ref="G342:G343"/>
    <mergeCell ref="H342:H343"/>
    <mergeCell ref="I342:J342"/>
    <mergeCell ref="K342:K343"/>
    <mergeCell ref="B344:B354"/>
    <mergeCell ref="K344:K354"/>
    <mergeCell ref="C354:D354"/>
    <mergeCell ref="B48:B58"/>
    <mergeCell ref="I158:J158"/>
    <mergeCell ref="K158:K159"/>
    <mergeCell ref="B160:B170"/>
    <mergeCell ref="K160:K170"/>
    <mergeCell ref="C169:G169"/>
    <mergeCell ref="L46:M46"/>
    <mergeCell ref="E46:F46"/>
    <mergeCell ref="D46:D47"/>
    <mergeCell ref="C46:C47"/>
    <mergeCell ref="L342:M342"/>
    <mergeCell ref="E354:F354"/>
    <mergeCell ref="H412:H413"/>
    <mergeCell ref="I412:J412"/>
    <mergeCell ref="K412:K413"/>
    <mergeCell ref="L412:M412"/>
    <mergeCell ref="K48:K58"/>
    <mergeCell ref="I46:J46"/>
    <mergeCell ref="C57:G57"/>
    <mergeCell ref="L74:M74"/>
    <mergeCell ref="L88:M88"/>
    <mergeCell ref="L102:M102"/>
    <mergeCell ref="L116:M116"/>
    <mergeCell ref="L130:M130"/>
    <mergeCell ref="L200:M200"/>
    <mergeCell ref="L370:M370"/>
    <mergeCell ref="L384:M384"/>
    <mergeCell ref="L398:M398"/>
    <mergeCell ref="H158:H159"/>
    <mergeCell ref="L158:M158"/>
    <mergeCell ref="B60:B61"/>
    <mergeCell ref="C60:C61"/>
    <mergeCell ref="D60:D61"/>
    <mergeCell ref="E60:F60"/>
    <mergeCell ref="G60:G61"/>
    <mergeCell ref="H60:H61"/>
    <mergeCell ref="I60:J60"/>
    <mergeCell ref="K60:K61"/>
    <mergeCell ref="L60:M60"/>
    <mergeCell ref="B62:B72"/>
    <mergeCell ref="K62:K72"/>
    <mergeCell ref="C71:G71"/>
    <mergeCell ref="C72:D72"/>
    <mergeCell ref="E72:F72"/>
    <mergeCell ref="B74:B75"/>
    <mergeCell ref="C74:C75"/>
    <mergeCell ref="D74:D75"/>
    <mergeCell ref="E74:F74"/>
    <mergeCell ref="G74:G75"/>
    <mergeCell ref="H74:H75"/>
    <mergeCell ref="I74:J74"/>
    <mergeCell ref="K74:K75"/>
    <mergeCell ref="B88:B89"/>
    <mergeCell ref="C88:C89"/>
    <mergeCell ref="D88:D89"/>
    <mergeCell ref="E88:F88"/>
    <mergeCell ref="G88:G89"/>
    <mergeCell ref="H88:H89"/>
    <mergeCell ref="I88:J88"/>
    <mergeCell ref="K88:K89"/>
    <mergeCell ref="B76:B86"/>
    <mergeCell ref="K76:K86"/>
    <mergeCell ref="C85:G85"/>
    <mergeCell ref="C86:D86"/>
    <mergeCell ref="E86:F86"/>
    <mergeCell ref="B90:B100"/>
    <mergeCell ref="K90:K100"/>
    <mergeCell ref="C99:G99"/>
    <mergeCell ref="C100:D100"/>
    <mergeCell ref="E100:F100"/>
    <mergeCell ref="B102:B103"/>
    <mergeCell ref="C102:C103"/>
    <mergeCell ref="D102:D103"/>
    <mergeCell ref="E102:F102"/>
    <mergeCell ref="G102:G103"/>
    <mergeCell ref="H102:H103"/>
    <mergeCell ref="I102:J102"/>
    <mergeCell ref="K102:K103"/>
    <mergeCell ref="B104:B114"/>
    <mergeCell ref="K104:K114"/>
    <mergeCell ref="C113:G113"/>
    <mergeCell ref="C114:D114"/>
    <mergeCell ref="E114:F114"/>
    <mergeCell ref="B116:B117"/>
    <mergeCell ref="C116:C117"/>
    <mergeCell ref="D116:D117"/>
    <mergeCell ref="E116:F116"/>
    <mergeCell ref="G116:G117"/>
    <mergeCell ref="H116:H117"/>
    <mergeCell ref="I116:J116"/>
    <mergeCell ref="K116:K117"/>
    <mergeCell ref="B214:B215"/>
    <mergeCell ref="B132:B142"/>
    <mergeCell ref="K132:K142"/>
    <mergeCell ref="C141:G141"/>
    <mergeCell ref="C142:D142"/>
    <mergeCell ref="E142:F142"/>
    <mergeCell ref="B118:B128"/>
    <mergeCell ref="K118:K128"/>
    <mergeCell ref="C127:G127"/>
    <mergeCell ref="C128:D128"/>
    <mergeCell ref="E128:F128"/>
    <mergeCell ref="B130:B131"/>
    <mergeCell ref="C130:C131"/>
    <mergeCell ref="D130:D131"/>
    <mergeCell ref="E130:F130"/>
    <mergeCell ref="G130:G131"/>
    <mergeCell ref="H130:H131"/>
    <mergeCell ref="I130:J130"/>
    <mergeCell ref="K130:K131"/>
    <mergeCell ref="C170:D170"/>
    <mergeCell ref="E170:F170"/>
    <mergeCell ref="B158:B159"/>
    <mergeCell ref="C158:C159"/>
    <mergeCell ref="D158:D159"/>
    <mergeCell ref="C282:D282"/>
    <mergeCell ref="E282:F282"/>
    <mergeCell ref="L270:M270"/>
    <mergeCell ref="B202:B212"/>
    <mergeCell ref="K202:K212"/>
    <mergeCell ref="C211:G211"/>
    <mergeCell ref="C212:D212"/>
    <mergeCell ref="E212:F212"/>
    <mergeCell ref="B200:B201"/>
    <mergeCell ref="C200:C201"/>
    <mergeCell ref="D200:D201"/>
    <mergeCell ref="E200:F200"/>
    <mergeCell ref="G200:G201"/>
    <mergeCell ref="H200:H201"/>
    <mergeCell ref="I200:J200"/>
    <mergeCell ref="K200:K201"/>
    <mergeCell ref="H214:H215"/>
    <mergeCell ref="I214:J214"/>
    <mergeCell ref="K214:K215"/>
    <mergeCell ref="L214:M214"/>
    <mergeCell ref="B216:B226"/>
    <mergeCell ref="K216:K226"/>
    <mergeCell ref="C225:G225"/>
    <mergeCell ref="C226:D226"/>
    <mergeCell ref="B356:B357"/>
    <mergeCell ref="C356:C357"/>
    <mergeCell ref="D356:D357"/>
    <mergeCell ref="E356:F356"/>
    <mergeCell ref="G356:G357"/>
    <mergeCell ref="H356:H357"/>
    <mergeCell ref="I356:J356"/>
    <mergeCell ref="K356:K357"/>
    <mergeCell ref="L356:M356"/>
    <mergeCell ref="B358:B368"/>
    <mergeCell ref="K358:K368"/>
    <mergeCell ref="C367:G367"/>
    <mergeCell ref="C368:D368"/>
    <mergeCell ref="E368:F368"/>
    <mergeCell ref="B370:B371"/>
    <mergeCell ref="C370:C371"/>
    <mergeCell ref="D370:D371"/>
    <mergeCell ref="E370:F370"/>
    <mergeCell ref="G370:G371"/>
    <mergeCell ref="H370:H371"/>
    <mergeCell ref="I370:J370"/>
    <mergeCell ref="K370:K371"/>
    <mergeCell ref="B372:B382"/>
    <mergeCell ref="K372:K382"/>
    <mergeCell ref="C381:G381"/>
    <mergeCell ref="C382:D382"/>
    <mergeCell ref="E382:F382"/>
    <mergeCell ref="B384:B385"/>
    <mergeCell ref="C384:C385"/>
    <mergeCell ref="D384:D385"/>
    <mergeCell ref="E384:F384"/>
    <mergeCell ref="G384:G385"/>
    <mergeCell ref="H384:H385"/>
    <mergeCell ref="I384:J384"/>
    <mergeCell ref="K384:K385"/>
    <mergeCell ref="B386:B396"/>
    <mergeCell ref="K386:K396"/>
    <mergeCell ref="C395:G395"/>
    <mergeCell ref="C396:D396"/>
    <mergeCell ref="E396:F396"/>
    <mergeCell ref="B398:B399"/>
    <mergeCell ref="C398:C399"/>
    <mergeCell ref="D398:D399"/>
    <mergeCell ref="E398:F398"/>
    <mergeCell ref="G398:G399"/>
    <mergeCell ref="H398:H399"/>
    <mergeCell ref="I398:J398"/>
    <mergeCell ref="K398:K399"/>
    <mergeCell ref="B400:B410"/>
    <mergeCell ref="B414:B424"/>
    <mergeCell ref="B498:B508"/>
    <mergeCell ref="K400:K410"/>
    <mergeCell ref="C409:G409"/>
    <mergeCell ref="C410:D410"/>
    <mergeCell ref="E410:F410"/>
    <mergeCell ref="K414:K424"/>
    <mergeCell ref="C423:G423"/>
    <mergeCell ref="C424:D424"/>
    <mergeCell ref="E424:F424"/>
    <mergeCell ref="B412:B413"/>
    <mergeCell ref="C412:C413"/>
    <mergeCell ref="D412:D413"/>
    <mergeCell ref="E412:F412"/>
    <mergeCell ref="G412:G413"/>
    <mergeCell ref="I426:J426"/>
    <mergeCell ref="K426:K427"/>
    <mergeCell ref="K454:K455"/>
    <mergeCell ref="G440:G441"/>
    <mergeCell ref="H440:H441"/>
    <mergeCell ref="I440:J440"/>
    <mergeCell ref="K440:K441"/>
    <mergeCell ref="B18:B19"/>
    <mergeCell ref="C18:C19"/>
    <mergeCell ref="D18:D19"/>
    <mergeCell ref="E18:F18"/>
    <mergeCell ref="G18:G19"/>
    <mergeCell ref="H18:H19"/>
    <mergeCell ref="I18:J18"/>
    <mergeCell ref="K18:K19"/>
    <mergeCell ref="L18:M18"/>
    <mergeCell ref="B20:B30"/>
    <mergeCell ref="K20:K30"/>
    <mergeCell ref="C29:G29"/>
    <mergeCell ref="C30:D30"/>
    <mergeCell ref="E30:F30"/>
    <mergeCell ref="B284:B285"/>
    <mergeCell ref="C284:C285"/>
    <mergeCell ref="D284:D285"/>
    <mergeCell ref="E284:F284"/>
    <mergeCell ref="G284:G285"/>
    <mergeCell ref="H284:H285"/>
    <mergeCell ref="I284:J284"/>
    <mergeCell ref="K284:K285"/>
    <mergeCell ref="B270:B271"/>
    <mergeCell ref="C270:C271"/>
    <mergeCell ref="D270:D271"/>
    <mergeCell ref="E270:F270"/>
    <mergeCell ref="G270:G271"/>
    <mergeCell ref="H270:H271"/>
    <mergeCell ref="I270:J270"/>
    <mergeCell ref="K270:K271"/>
    <mergeCell ref="B272:B282"/>
    <mergeCell ref="K272:K282"/>
    <mergeCell ref="C281:G281"/>
    <mergeCell ref="G326:G327"/>
    <mergeCell ref="L284:M284"/>
    <mergeCell ref="B286:B296"/>
    <mergeCell ref="K286:K296"/>
    <mergeCell ref="C295:G295"/>
    <mergeCell ref="C296:D296"/>
    <mergeCell ref="E296:F296"/>
    <mergeCell ref="B298:B299"/>
    <mergeCell ref="C298:C299"/>
    <mergeCell ref="D298:D299"/>
    <mergeCell ref="E298:F298"/>
    <mergeCell ref="G298:G299"/>
    <mergeCell ref="H298:H299"/>
    <mergeCell ref="I298:J298"/>
    <mergeCell ref="K298:K299"/>
    <mergeCell ref="L298:M298"/>
    <mergeCell ref="L326:M326"/>
    <mergeCell ref="B300:B310"/>
    <mergeCell ref="K300:K310"/>
    <mergeCell ref="C309:G309"/>
    <mergeCell ref="C310:D310"/>
    <mergeCell ref="E310:F310"/>
    <mergeCell ref="B312:B313"/>
    <mergeCell ref="C312:C313"/>
    <mergeCell ref="D312:D313"/>
    <mergeCell ref="E312:F312"/>
    <mergeCell ref="G312:G313"/>
    <mergeCell ref="H312:H313"/>
    <mergeCell ref="I312:J312"/>
    <mergeCell ref="K312:K313"/>
    <mergeCell ref="B314:B324"/>
    <mergeCell ref="K314:K324"/>
    <mergeCell ref="C323:G323"/>
    <mergeCell ref="C324:D324"/>
    <mergeCell ref="E324:F324"/>
    <mergeCell ref="B326:B327"/>
    <mergeCell ref="C326:C327"/>
    <mergeCell ref="D326:D327"/>
    <mergeCell ref="E326:F326"/>
    <mergeCell ref="L454:M454"/>
    <mergeCell ref="G32:G33"/>
    <mergeCell ref="H32:H33"/>
    <mergeCell ref="I32:J32"/>
    <mergeCell ref="K32:K33"/>
    <mergeCell ref="L440:M440"/>
    <mergeCell ref="B442:B452"/>
    <mergeCell ref="K442:K452"/>
    <mergeCell ref="C451:G451"/>
    <mergeCell ref="C452:D452"/>
    <mergeCell ref="E452:F452"/>
    <mergeCell ref="B328:B338"/>
    <mergeCell ref="K328:K338"/>
    <mergeCell ref="C337:G337"/>
    <mergeCell ref="C338:D338"/>
    <mergeCell ref="E338:F338"/>
    <mergeCell ref="B440:B441"/>
    <mergeCell ref="C440:C441"/>
    <mergeCell ref="D440:D441"/>
    <mergeCell ref="E440:F440"/>
    <mergeCell ref="L312:M312"/>
    <mergeCell ref="L32:M32"/>
    <mergeCell ref="B34:B44"/>
    <mergeCell ref="K34:K44"/>
    <mergeCell ref="C43:G43"/>
    <mergeCell ref="C44:D44"/>
    <mergeCell ref="E44:F44"/>
    <mergeCell ref="B468:B469"/>
    <mergeCell ref="C468:C469"/>
    <mergeCell ref="D468:D469"/>
    <mergeCell ref="E468:F468"/>
    <mergeCell ref="G468:G469"/>
    <mergeCell ref="H468:H469"/>
    <mergeCell ref="I468:J468"/>
    <mergeCell ref="K468:K469"/>
    <mergeCell ref="L468:M468"/>
    <mergeCell ref="B456:B466"/>
    <mergeCell ref="K456:K466"/>
    <mergeCell ref="C465:G465"/>
    <mergeCell ref="C466:D466"/>
    <mergeCell ref="E466:F466"/>
    <mergeCell ref="B32:B33"/>
    <mergeCell ref="C32:C33"/>
    <mergeCell ref="D32:D33"/>
    <mergeCell ref="E32:F32"/>
    <mergeCell ref="B470:B480"/>
    <mergeCell ref="K470:K480"/>
    <mergeCell ref="C479:G479"/>
    <mergeCell ref="C480:D480"/>
    <mergeCell ref="E480:F480"/>
    <mergeCell ref="B482:B483"/>
    <mergeCell ref="C482:C483"/>
    <mergeCell ref="D482:D483"/>
    <mergeCell ref="E482:F482"/>
    <mergeCell ref="G482:G483"/>
    <mergeCell ref="H482:H483"/>
    <mergeCell ref="I482:J482"/>
    <mergeCell ref="K482:K483"/>
    <mergeCell ref="H326:H327"/>
    <mergeCell ref="I326:J326"/>
    <mergeCell ref="K326:K327"/>
    <mergeCell ref="B454:B455"/>
    <mergeCell ref="C454:C455"/>
    <mergeCell ref="D454:D455"/>
    <mergeCell ref="E454:F454"/>
    <mergeCell ref="G454:G455"/>
    <mergeCell ref="H454:H455"/>
    <mergeCell ref="I454:J454"/>
    <mergeCell ref="L482:M482"/>
    <mergeCell ref="B484:B494"/>
    <mergeCell ref="K484:K494"/>
    <mergeCell ref="C493:G493"/>
    <mergeCell ref="C494:D494"/>
    <mergeCell ref="E494:F494"/>
    <mergeCell ref="B496:B497"/>
    <mergeCell ref="C496:C497"/>
    <mergeCell ref="D496:D497"/>
    <mergeCell ref="E496:F496"/>
    <mergeCell ref="G496:G497"/>
    <mergeCell ref="H496:H497"/>
    <mergeCell ref="I496:J496"/>
    <mergeCell ref="K496:K497"/>
    <mergeCell ref="L496:M496"/>
    <mergeCell ref="L510:M510"/>
    <mergeCell ref="B512:B522"/>
    <mergeCell ref="K512:K522"/>
    <mergeCell ref="C521:G521"/>
    <mergeCell ref="C522:D522"/>
    <mergeCell ref="E522:F522"/>
    <mergeCell ref="K498:K508"/>
    <mergeCell ref="C507:G507"/>
    <mergeCell ref="C508:D508"/>
    <mergeCell ref="E508:F508"/>
    <mergeCell ref="B510:B511"/>
    <mergeCell ref="C510:C511"/>
    <mergeCell ref="D510:D511"/>
    <mergeCell ref="E510:F510"/>
    <mergeCell ref="G510:G511"/>
    <mergeCell ref="H510:H511"/>
    <mergeCell ref="I510:J510"/>
    <mergeCell ref="K510:K511"/>
  </mergeCells>
  <phoneticPr fontId="3" type="noConversion"/>
  <hyperlinks>
    <hyperlink ref="N11" r:id="rId1" xr:uid="{D309F5BD-DE38-4E95-97EB-7EB5410F9C1F}"/>
  </hyperlinks>
  <pageMargins left="0.7" right="0.7" top="0.75" bottom="0.75" header="0.3" footer="0.3"/>
  <pageSetup paperSize="9" scale="44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2045-1945-4DE8-BB19-C41734C4AFD5}">
  <dimension ref="B2:H49"/>
  <sheetViews>
    <sheetView workbookViewId="0">
      <selection activeCell="C55" sqref="C55"/>
    </sheetView>
  </sheetViews>
  <sheetFormatPr defaultColWidth="9.140625" defaultRowHeight="15" x14ac:dyDescent="0.25"/>
  <cols>
    <col min="1" max="1" width="2.7109375" style="191" customWidth="1"/>
    <col min="2" max="2" width="50.140625" style="191" customWidth="1"/>
    <col min="3" max="3" width="66.85546875" style="191" customWidth="1"/>
    <col min="4" max="4" width="9.140625" style="191"/>
    <col min="5" max="5" width="11.85546875" style="191" customWidth="1"/>
    <col min="6" max="7" width="9.140625" style="191"/>
    <col min="8" max="8" width="104.42578125" style="191" customWidth="1"/>
    <col min="9" max="16384" width="9.140625" style="191"/>
  </cols>
  <sheetData>
    <row r="2" spans="2:8" x14ac:dyDescent="0.25">
      <c r="B2" s="327" t="s">
        <v>0</v>
      </c>
      <c r="C2" s="327" t="s">
        <v>19</v>
      </c>
      <c r="D2" s="327" t="s">
        <v>14</v>
      </c>
      <c r="E2" s="327" t="s">
        <v>268</v>
      </c>
      <c r="F2" s="319" t="s">
        <v>20</v>
      </c>
      <c r="G2" s="319" t="s">
        <v>21</v>
      </c>
      <c r="H2" s="319" t="s">
        <v>28</v>
      </c>
    </row>
    <row r="3" spans="2:8" x14ac:dyDescent="0.25">
      <c r="B3" s="328"/>
      <c r="C3" s="328"/>
      <c r="D3" s="328"/>
      <c r="E3" s="328"/>
      <c r="F3" s="320"/>
      <c r="G3" s="320"/>
      <c r="H3" s="320"/>
    </row>
    <row r="4" spans="2:8" x14ac:dyDescent="0.25">
      <c r="B4" s="367" t="s">
        <v>286</v>
      </c>
      <c r="C4" s="48"/>
      <c r="D4" s="49"/>
      <c r="E4" s="49"/>
      <c r="F4" s="50"/>
      <c r="G4" s="51">
        <f>F4*E4</f>
        <v>0</v>
      </c>
      <c r="H4" s="193"/>
    </row>
    <row r="5" spans="2:8" x14ac:dyDescent="0.25">
      <c r="B5" s="367"/>
      <c r="C5" s="48"/>
      <c r="D5" s="49"/>
      <c r="E5" s="49"/>
      <c r="F5" s="50"/>
      <c r="G5" s="51">
        <f t="shared" ref="G5:G20" si="0">F5*E5</f>
        <v>0</v>
      </c>
      <c r="H5" s="193"/>
    </row>
    <row r="6" spans="2:8" x14ac:dyDescent="0.25">
      <c r="B6" s="367"/>
      <c r="C6" s="48"/>
      <c r="D6" s="49"/>
      <c r="E6" s="49"/>
      <c r="F6" s="50"/>
      <c r="G6" s="51">
        <f t="shared" si="0"/>
        <v>0</v>
      </c>
      <c r="H6" s="193"/>
    </row>
    <row r="7" spans="2:8" x14ac:dyDescent="0.25">
      <c r="B7" s="367"/>
      <c r="C7" s="48"/>
      <c r="D7" s="49"/>
      <c r="E7" s="49"/>
      <c r="F7" s="50"/>
      <c r="G7" s="51">
        <f t="shared" si="0"/>
        <v>0</v>
      </c>
      <c r="H7" s="193"/>
    </row>
    <row r="8" spans="2:8" x14ac:dyDescent="0.25">
      <c r="B8" s="367"/>
      <c r="C8" s="48"/>
      <c r="D8" s="49"/>
      <c r="E8" s="49"/>
      <c r="F8" s="50"/>
      <c r="G8" s="51">
        <f t="shared" si="0"/>
        <v>0</v>
      </c>
      <c r="H8" s="193"/>
    </row>
    <row r="9" spans="2:8" x14ac:dyDescent="0.25">
      <c r="B9" s="367"/>
      <c r="C9" s="48"/>
      <c r="D9" s="49"/>
      <c r="E9" s="49"/>
      <c r="F9" s="50"/>
      <c r="G9" s="51">
        <f t="shared" si="0"/>
        <v>0</v>
      </c>
      <c r="H9" s="193"/>
    </row>
    <row r="10" spans="2:8" x14ac:dyDescent="0.25">
      <c r="B10" s="367"/>
      <c r="C10" s="48"/>
      <c r="D10" s="49"/>
      <c r="E10" s="49"/>
      <c r="F10" s="50"/>
      <c r="G10" s="51">
        <f t="shared" si="0"/>
        <v>0</v>
      </c>
      <c r="H10" s="193"/>
    </row>
    <row r="11" spans="2:8" x14ac:dyDescent="0.25">
      <c r="B11" s="367"/>
      <c r="C11" s="48"/>
      <c r="D11" s="49"/>
      <c r="E11" s="49"/>
      <c r="F11" s="50"/>
      <c r="G11" s="51">
        <f t="shared" si="0"/>
        <v>0</v>
      </c>
      <c r="H11" s="193"/>
    </row>
    <row r="12" spans="2:8" x14ac:dyDescent="0.25">
      <c r="B12" s="367"/>
      <c r="C12" s="48"/>
      <c r="D12" s="49"/>
      <c r="E12" s="49"/>
      <c r="F12" s="50"/>
      <c r="G12" s="51">
        <f t="shared" si="0"/>
        <v>0</v>
      </c>
      <c r="H12" s="193"/>
    </row>
    <row r="13" spans="2:8" x14ac:dyDescent="0.25">
      <c r="B13" s="367"/>
      <c r="C13" s="48"/>
      <c r="D13" s="49"/>
      <c r="E13" s="49"/>
      <c r="F13" s="50"/>
      <c r="G13" s="51">
        <f t="shared" si="0"/>
        <v>0</v>
      </c>
      <c r="H13" s="193"/>
    </row>
    <row r="14" spans="2:8" x14ac:dyDescent="0.25">
      <c r="B14" s="367"/>
      <c r="C14" s="48"/>
      <c r="D14" s="49"/>
      <c r="E14" s="49"/>
      <c r="F14" s="50"/>
      <c r="G14" s="51">
        <f t="shared" si="0"/>
        <v>0</v>
      </c>
      <c r="H14" s="211"/>
    </row>
    <row r="15" spans="2:8" x14ac:dyDescent="0.25">
      <c r="B15" s="367"/>
      <c r="C15" s="48"/>
      <c r="D15" s="49"/>
      <c r="E15" s="49"/>
      <c r="F15" s="50"/>
      <c r="G15" s="51">
        <f t="shared" si="0"/>
        <v>0</v>
      </c>
      <c r="H15" s="211"/>
    </row>
    <row r="16" spans="2:8" x14ac:dyDescent="0.25">
      <c r="B16" s="367"/>
      <c r="C16" s="48"/>
      <c r="D16" s="49"/>
      <c r="E16" s="49"/>
      <c r="F16" s="50"/>
      <c r="G16" s="51">
        <f t="shared" si="0"/>
        <v>0</v>
      </c>
      <c r="H16" s="211"/>
    </row>
    <row r="17" spans="2:8" x14ac:dyDescent="0.25">
      <c r="B17" s="367"/>
      <c r="C17" s="48"/>
      <c r="D17" s="49"/>
      <c r="E17" s="49"/>
      <c r="F17" s="50"/>
      <c r="G17" s="51">
        <f t="shared" si="0"/>
        <v>0</v>
      </c>
      <c r="H17" s="211"/>
    </row>
    <row r="18" spans="2:8" x14ac:dyDescent="0.25">
      <c r="B18" s="367"/>
      <c r="C18" s="48"/>
      <c r="D18" s="49"/>
      <c r="E18" s="49"/>
      <c r="F18" s="50"/>
      <c r="G18" s="51">
        <f t="shared" si="0"/>
        <v>0</v>
      </c>
      <c r="H18" s="193"/>
    </row>
    <row r="19" spans="2:8" x14ac:dyDescent="0.25">
      <c r="B19" s="367"/>
      <c r="C19" s="48"/>
      <c r="D19" s="49"/>
      <c r="E19" s="49"/>
      <c r="F19" s="50"/>
      <c r="G19" s="51">
        <f t="shared" si="0"/>
        <v>0</v>
      </c>
      <c r="H19" s="193"/>
    </row>
    <row r="20" spans="2:8" x14ac:dyDescent="0.25">
      <c r="B20" s="367"/>
      <c r="C20" s="48"/>
      <c r="D20" s="49"/>
      <c r="E20" s="49"/>
      <c r="F20" s="50"/>
      <c r="G20" s="51">
        <f t="shared" si="0"/>
        <v>0</v>
      </c>
      <c r="H20" s="193"/>
    </row>
    <row r="21" spans="2:8" x14ac:dyDescent="0.25">
      <c r="B21" s="367"/>
      <c r="C21" s="373" t="s">
        <v>25</v>
      </c>
      <c r="D21" s="373"/>
      <c r="E21" s="373"/>
      <c r="F21" s="373"/>
      <c r="G21" s="212">
        <f>SUM(G4:G20)</f>
        <v>0</v>
      </c>
      <c r="H21" s="193"/>
    </row>
    <row r="23" spans="2:8" x14ac:dyDescent="0.25">
      <c r="B23" s="327" t="s">
        <v>0</v>
      </c>
      <c r="C23" s="327" t="s">
        <v>19</v>
      </c>
      <c r="D23" s="327" t="s">
        <v>14</v>
      </c>
      <c r="E23" s="327" t="s">
        <v>268</v>
      </c>
      <c r="F23" s="319" t="s">
        <v>20</v>
      </c>
      <c r="G23" s="319" t="s">
        <v>21</v>
      </c>
      <c r="H23" s="319" t="s">
        <v>28</v>
      </c>
    </row>
    <row r="24" spans="2:8" x14ac:dyDescent="0.25">
      <c r="B24" s="328"/>
      <c r="C24" s="328"/>
      <c r="D24" s="328"/>
      <c r="E24" s="328"/>
      <c r="F24" s="320"/>
      <c r="G24" s="320"/>
      <c r="H24" s="320"/>
    </row>
    <row r="25" spans="2:8" x14ac:dyDescent="0.25">
      <c r="B25" s="367" t="s">
        <v>287</v>
      </c>
      <c r="C25" s="48"/>
      <c r="D25" s="49"/>
      <c r="E25" s="49"/>
      <c r="F25" s="50"/>
      <c r="G25" s="51"/>
      <c r="H25" s="193"/>
    </row>
    <row r="26" spans="2:8" x14ac:dyDescent="0.25">
      <c r="B26" s="367"/>
      <c r="C26" s="48"/>
      <c r="D26" s="49"/>
      <c r="E26" s="49"/>
      <c r="F26" s="50"/>
      <c r="G26" s="51"/>
      <c r="H26" s="193"/>
    </row>
    <row r="27" spans="2:8" x14ac:dyDescent="0.25">
      <c r="B27" s="367"/>
      <c r="C27" s="48"/>
      <c r="D27" s="49"/>
      <c r="E27" s="49"/>
      <c r="F27" s="50"/>
      <c r="G27" s="51"/>
      <c r="H27" s="211"/>
    </row>
    <row r="28" spans="2:8" x14ac:dyDescent="0.25">
      <c r="B28" s="367"/>
      <c r="C28" s="48"/>
      <c r="D28" s="49"/>
      <c r="E28" s="49"/>
      <c r="F28" s="50"/>
      <c r="G28" s="51"/>
      <c r="H28" s="211"/>
    </row>
    <row r="29" spans="2:8" x14ac:dyDescent="0.25">
      <c r="B29" s="367"/>
      <c r="C29" s="48"/>
      <c r="D29" s="49"/>
      <c r="E29" s="49"/>
      <c r="F29" s="50"/>
      <c r="G29" s="51"/>
      <c r="H29" s="211"/>
    </row>
    <row r="30" spans="2:8" x14ac:dyDescent="0.25">
      <c r="B30" s="367"/>
      <c r="C30" s="48"/>
      <c r="D30" s="49"/>
      <c r="E30" s="49"/>
      <c r="F30" s="50"/>
      <c r="G30" s="51"/>
      <c r="H30" s="211"/>
    </row>
    <row r="31" spans="2:8" x14ac:dyDescent="0.25">
      <c r="B31" s="367"/>
      <c r="C31" s="48"/>
      <c r="D31" s="49"/>
      <c r="E31" s="49"/>
      <c r="F31" s="50"/>
      <c r="G31" s="51"/>
      <c r="H31" s="193"/>
    </row>
    <row r="32" spans="2:8" x14ac:dyDescent="0.25">
      <c r="B32" s="367"/>
      <c r="C32" s="48"/>
      <c r="D32" s="49"/>
      <c r="E32" s="49"/>
      <c r="F32" s="50"/>
      <c r="G32" s="51"/>
      <c r="H32" s="193"/>
    </row>
    <row r="33" spans="2:8" x14ac:dyDescent="0.25">
      <c r="B33" s="367"/>
      <c r="C33" s="48"/>
      <c r="D33" s="49"/>
      <c r="E33" s="49"/>
      <c r="F33" s="50"/>
      <c r="G33" s="51"/>
      <c r="H33" s="193"/>
    </row>
    <row r="34" spans="2:8" x14ac:dyDescent="0.25">
      <c r="B34" s="367"/>
      <c r="C34" s="373" t="s">
        <v>25</v>
      </c>
      <c r="D34" s="373"/>
      <c r="E34" s="373"/>
      <c r="F34" s="373"/>
      <c r="G34" s="212">
        <f>SUM(G25:G33)</f>
        <v>0</v>
      </c>
      <c r="H34" s="193"/>
    </row>
    <row r="36" spans="2:8" x14ac:dyDescent="0.25">
      <c r="B36" s="327" t="s">
        <v>0</v>
      </c>
      <c r="C36" s="327" t="s">
        <v>19</v>
      </c>
      <c r="D36" s="327" t="s">
        <v>14</v>
      </c>
      <c r="E36" s="327" t="s">
        <v>268</v>
      </c>
      <c r="F36" s="319" t="s">
        <v>20</v>
      </c>
      <c r="G36" s="319" t="s">
        <v>21</v>
      </c>
      <c r="H36" s="319" t="s">
        <v>28</v>
      </c>
    </row>
    <row r="37" spans="2:8" x14ac:dyDescent="0.25">
      <c r="B37" s="328"/>
      <c r="C37" s="328"/>
      <c r="D37" s="328"/>
      <c r="E37" s="328"/>
      <c r="F37" s="320"/>
      <c r="G37" s="320"/>
      <c r="H37" s="320"/>
    </row>
    <row r="38" spans="2:8" x14ac:dyDescent="0.25">
      <c r="B38" s="367" t="s">
        <v>288</v>
      </c>
      <c r="C38" s="48"/>
      <c r="D38" s="49"/>
      <c r="E38" s="49"/>
      <c r="F38" s="50"/>
      <c r="G38" s="51"/>
      <c r="H38" s="193"/>
    </row>
    <row r="39" spans="2:8" x14ac:dyDescent="0.25">
      <c r="B39" s="367"/>
      <c r="C39" s="48"/>
      <c r="D39" s="49"/>
      <c r="E39" s="49"/>
      <c r="F39" s="50"/>
      <c r="G39" s="51"/>
      <c r="H39" s="193"/>
    </row>
    <row r="40" spans="2:8" x14ac:dyDescent="0.25">
      <c r="B40" s="367"/>
      <c r="C40" s="48"/>
      <c r="D40" s="49"/>
      <c r="E40" s="49"/>
      <c r="F40" s="50"/>
      <c r="G40" s="51"/>
      <c r="H40" s="211"/>
    </row>
    <row r="41" spans="2:8" x14ac:dyDescent="0.25">
      <c r="B41" s="367"/>
      <c r="C41" s="48"/>
      <c r="D41" s="49"/>
      <c r="E41" s="49"/>
      <c r="F41" s="50"/>
      <c r="G41" s="51"/>
      <c r="H41" s="211"/>
    </row>
    <row r="42" spans="2:8" x14ac:dyDescent="0.25">
      <c r="B42" s="367"/>
      <c r="C42" s="48"/>
      <c r="D42" s="49"/>
      <c r="E42" s="49"/>
      <c r="F42" s="50"/>
      <c r="G42" s="51"/>
      <c r="H42" s="211"/>
    </row>
    <row r="43" spans="2:8" x14ac:dyDescent="0.25">
      <c r="B43" s="367"/>
      <c r="C43" s="48"/>
      <c r="D43" s="49"/>
      <c r="E43" s="49"/>
      <c r="F43" s="50"/>
      <c r="G43" s="51"/>
      <c r="H43" s="211"/>
    </row>
    <row r="44" spans="2:8" x14ac:dyDescent="0.25">
      <c r="B44" s="367"/>
      <c r="C44" s="48"/>
      <c r="D44" s="49"/>
      <c r="E44" s="49"/>
      <c r="F44" s="50"/>
      <c r="G44" s="51"/>
      <c r="H44" s="193"/>
    </row>
    <row r="45" spans="2:8" x14ac:dyDescent="0.25">
      <c r="B45" s="367"/>
      <c r="C45" s="48"/>
      <c r="D45" s="49"/>
      <c r="E45" s="49"/>
      <c r="F45" s="50"/>
      <c r="G45" s="51"/>
      <c r="H45" s="193"/>
    </row>
    <row r="46" spans="2:8" x14ac:dyDescent="0.25">
      <c r="B46" s="367"/>
      <c r="C46" s="48"/>
      <c r="D46" s="49"/>
      <c r="E46" s="49"/>
      <c r="F46" s="50"/>
      <c r="G46" s="51"/>
      <c r="H46" s="193"/>
    </row>
    <row r="47" spans="2:8" x14ac:dyDescent="0.25">
      <c r="B47" s="367"/>
      <c r="C47" s="373" t="s">
        <v>25</v>
      </c>
      <c r="D47" s="373"/>
      <c r="E47" s="373"/>
      <c r="F47" s="373"/>
      <c r="G47" s="212">
        <f>SUM(G38:G46)</f>
        <v>0</v>
      </c>
      <c r="H47" s="193"/>
    </row>
    <row r="48" spans="2:8" ht="15.75" thickBot="1" x14ac:dyDescent="0.3"/>
    <row r="49" spans="2:7" ht="15.75" thickBot="1" x14ac:dyDescent="0.3">
      <c r="B49" s="370" t="s">
        <v>25</v>
      </c>
      <c r="C49" s="371"/>
      <c r="D49" s="371"/>
      <c r="E49" s="371"/>
      <c r="F49" s="372"/>
      <c r="G49" s="214">
        <f>G21+G34+G47</f>
        <v>0</v>
      </c>
    </row>
  </sheetData>
  <mergeCells count="28">
    <mergeCell ref="H2:H3"/>
    <mergeCell ref="B4:B21"/>
    <mergeCell ref="C21:F21"/>
    <mergeCell ref="B23:B24"/>
    <mergeCell ref="C23:C24"/>
    <mergeCell ref="D23:D24"/>
    <mergeCell ref="E23:E24"/>
    <mergeCell ref="F23:F24"/>
    <mergeCell ref="G23:G24"/>
    <mergeCell ref="H23:H24"/>
    <mergeCell ref="B2:B3"/>
    <mergeCell ref="C2:C3"/>
    <mergeCell ref="D2:D3"/>
    <mergeCell ref="E2:E3"/>
    <mergeCell ref="F2:F3"/>
    <mergeCell ref="G2:G3"/>
    <mergeCell ref="B25:B34"/>
    <mergeCell ref="C34:F34"/>
    <mergeCell ref="B36:B37"/>
    <mergeCell ref="C36:C37"/>
    <mergeCell ref="D36:D37"/>
    <mergeCell ref="E36:E37"/>
    <mergeCell ref="F36:F37"/>
    <mergeCell ref="B49:F49"/>
    <mergeCell ref="G36:G37"/>
    <mergeCell ref="H36:H37"/>
    <mergeCell ref="B38:B47"/>
    <mergeCell ref="C47:F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5BA9-84EF-460F-897D-CC1A5BC2C51D}">
  <sheetPr>
    <pageSetUpPr fitToPage="1"/>
  </sheetPr>
  <dimension ref="A1:U77"/>
  <sheetViews>
    <sheetView showGridLines="0" zoomScale="115" zoomScaleNormal="115" zoomScaleSheetLayoutView="115" workbookViewId="0">
      <pane ySplit="7" topLeftCell="A8" activePane="bottomLeft" state="frozen"/>
      <selection pane="bottomLeft" activeCell="E70" sqref="E70"/>
    </sheetView>
  </sheetViews>
  <sheetFormatPr defaultColWidth="9.140625" defaultRowHeight="15" x14ac:dyDescent="0.25"/>
  <cols>
    <col min="1" max="1" width="9.140625" style="1"/>
    <col min="2" max="2" width="51" style="1" customWidth="1"/>
    <col min="3" max="3" width="7" style="9" customWidth="1"/>
    <col min="4" max="4" width="6.85546875" style="1" customWidth="1"/>
    <col min="5" max="8" width="13.85546875" style="11" customWidth="1"/>
    <col min="9" max="9" width="0.42578125" style="11" customWidth="1"/>
    <col min="10" max="10" width="12.5703125" style="11" customWidth="1"/>
    <col min="11" max="11" width="10" style="11" customWidth="1"/>
    <col min="12" max="12" width="3.28515625" style="11" customWidth="1"/>
    <col min="13" max="13" width="37.7109375" style="1" customWidth="1"/>
    <col min="14" max="14" width="13" style="36" customWidth="1"/>
    <col min="15" max="15" width="0.28515625" style="1" customWidth="1"/>
    <col min="16" max="17" width="8.140625" style="23" customWidth="1"/>
    <col min="18" max="18" width="9.42578125" style="23" bestFit="1" customWidth="1"/>
    <col min="19" max="21" width="8.140625" style="23" customWidth="1"/>
    <col min="22" max="16384" width="9.140625" style="2"/>
  </cols>
  <sheetData>
    <row r="1" spans="1:21" x14ac:dyDescent="0.25">
      <c r="A1" s="128"/>
      <c r="B1" s="129"/>
      <c r="C1" s="128"/>
      <c r="D1" s="128"/>
      <c r="E1" s="34"/>
      <c r="F1" s="34"/>
      <c r="G1" s="35"/>
      <c r="H1" s="35"/>
      <c r="I1" s="184"/>
      <c r="J1" s="288"/>
      <c r="K1" s="288"/>
      <c r="L1" s="288"/>
      <c r="M1" s="288"/>
      <c r="N1" s="288"/>
      <c r="O1" s="199"/>
    </row>
    <row r="2" spans="1:21" x14ac:dyDescent="0.25">
      <c r="A2" s="128"/>
      <c r="B2" s="130" t="str">
        <f>MQT!B2</f>
        <v>CO26/0034</v>
      </c>
      <c r="C2" s="130"/>
      <c r="D2" s="130"/>
      <c r="E2" s="130"/>
      <c r="F2" s="130"/>
      <c r="G2" s="130"/>
      <c r="H2" s="130"/>
      <c r="I2" s="185"/>
      <c r="J2" s="289"/>
      <c r="K2" s="289"/>
      <c r="L2" s="289"/>
      <c r="M2" s="289"/>
      <c r="N2" s="289"/>
      <c r="O2" s="185"/>
    </row>
    <row r="3" spans="1:21" x14ac:dyDescent="0.25">
      <c r="A3" s="128"/>
      <c r="B3" s="131" t="str">
        <f>MQT!B3</f>
        <v>Cliente: Tiago Parada</v>
      </c>
      <c r="C3" s="131"/>
      <c r="D3" s="131"/>
      <c r="E3" s="131"/>
      <c r="F3" s="131"/>
      <c r="G3" s="131"/>
      <c r="H3" s="131"/>
      <c r="I3" s="186"/>
      <c r="J3" s="289" t="s">
        <v>152</v>
      </c>
      <c r="K3" s="289"/>
      <c r="L3" s="289"/>
      <c r="M3" s="289"/>
      <c r="N3" s="289"/>
      <c r="O3" s="186"/>
      <c r="P3" s="25" t="str">
        <f>MQT!P3</f>
        <v>FI Estrutura</v>
      </c>
      <c r="Q3" s="24"/>
      <c r="R3" s="79" t="str">
        <f>MQT!R3</f>
        <v>Negociação</v>
      </c>
      <c r="S3" s="26" t="str">
        <f>MQT!S3</f>
        <v>Lucro</v>
      </c>
      <c r="T3" s="27" t="str">
        <f>MQT!T3</f>
        <v>Custo Fixo</v>
      </c>
      <c r="U3" s="28" t="str">
        <f>MQT!U3</f>
        <v>K médio</v>
      </c>
    </row>
    <row r="4" spans="1:21" x14ac:dyDescent="0.25">
      <c r="A4" s="128"/>
      <c r="B4" s="131" t="str">
        <f>MQT!B4</f>
        <v>Morada: Rua António José de Almeida, 3º Direito, Brandoa, 2650-381</v>
      </c>
      <c r="C4" s="131"/>
      <c r="D4" s="131"/>
      <c r="E4" s="131"/>
      <c r="F4" s="131"/>
      <c r="G4" s="131"/>
      <c r="H4" s="131"/>
      <c r="I4" s="186"/>
      <c r="J4" s="289"/>
      <c r="K4" s="289"/>
      <c r="L4" s="289"/>
      <c r="M4" s="289"/>
      <c r="N4" s="289"/>
      <c r="O4" s="186"/>
      <c r="P4" s="29">
        <f>MQT!P4</f>
        <v>1.1499999999999999</v>
      </c>
      <c r="Q4" s="24"/>
      <c r="R4" s="79">
        <f>MQT!R4</f>
        <v>1</v>
      </c>
      <c r="S4" s="26">
        <f>MQT!S4</f>
        <v>227.42999999999989</v>
      </c>
      <c r="T4" s="27">
        <f>MQT!T4</f>
        <v>227.42999999999984</v>
      </c>
      <c r="U4" s="28">
        <f>MQT!U4</f>
        <v>1.2999999999999996</v>
      </c>
    </row>
    <row r="5" spans="1:21" x14ac:dyDescent="0.25">
      <c r="A5" s="128"/>
      <c r="B5" s="131" t="str">
        <f>MQT!B5</f>
        <v>Responsável: Vinícius Tomaz</v>
      </c>
      <c r="C5" s="131"/>
      <c r="D5" s="131"/>
      <c r="E5" s="131"/>
      <c r="F5" s="131"/>
      <c r="G5" s="131"/>
      <c r="H5" s="131"/>
      <c r="I5" s="186"/>
      <c r="J5" s="131"/>
      <c r="K5" s="131"/>
      <c r="L5" s="131"/>
      <c r="M5" s="131"/>
      <c r="N5" s="182"/>
      <c r="O5" s="186"/>
      <c r="P5" s="25" t="str">
        <f>MQT!P5</f>
        <v>Margem  - K</v>
      </c>
      <c r="Q5" s="24"/>
      <c r="R5" s="24"/>
      <c r="S5" s="24"/>
      <c r="T5" s="24"/>
      <c r="U5" s="24"/>
    </row>
    <row r="6" spans="1:21" x14ac:dyDescent="0.25">
      <c r="A6" s="128"/>
      <c r="B6" s="132"/>
      <c r="C6" s="128"/>
      <c r="D6" s="128"/>
      <c r="E6" s="34"/>
      <c r="F6" s="34"/>
      <c r="G6" s="35"/>
      <c r="H6" s="133" t="s">
        <v>30</v>
      </c>
      <c r="I6" s="184"/>
      <c r="J6" s="35"/>
      <c r="K6" s="35"/>
      <c r="L6" s="35"/>
      <c r="N6" s="183"/>
      <c r="O6" s="200"/>
      <c r="P6" s="30" t="str">
        <f>MQT!P6</f>
        <v>Const. civil</v>
      </c>
      <c r="Q6" s="30" t="str">
        <f>MQT!Q6</f>
        <v>Águas</v>
      </c>
      <c r="R6" s="30" t="str">
        <f>MQT!R6</f>
        <v>Gás</v>
      </c>
      <c r="S6" s="30" t="str">
        <f>MQT!S6</f>
        <v>Eletricidade</v>
      </c>
      <c r="T6" s="30" t="str">
        <f>MQT!T6</f>
        <v>AVAC</v>
      </c>
      <c r="U6" s="30" t="str">
        <f>MQT!U6</f>
        <v>SCIE</v>
      </c>
    </row>
    <row r="7" spans="1:21" ht="24" x14ac:dyDescent="0.25">
      <c r="A7" s="134" t="s">
        <v>0</v>
      </c>
      <c r="B7" s="134" t="s">
        <v>13</v>
      </c>
      <c r="C7" s="134" t="s">
        <v>14</v>
      </c>
      <c r="D7" s="134" t="s">
        <v>1</v>
      </c>
      <c r="E7" s="135" t="s">
        <v>2</v>
      </c>
      <c r="F7" s="135" t="s">
        <v>12</v>
      </c>
      <c r="G7" s="136" t="s">
        <v>74</v>
      </c>
      <c r="H7" s="136" t="s">
        <v>75</v>
      </c>
      <c r="I7" s="187"/>
      <c r="J7" s="180" t="s">
        <v>31</v>
      </c>
      <c r="K7" s="305" t="s">
        <v>32</v>
      </c>
      <c r="L7" s="305"/>
      <c r="M7" s="136" t="s">
        <v>15</v>
      </c>
      <c r="N7" s="181" t="s">
        <v>73</v>
      </c>
      <c r="O7" s="187"/>
      <c r="P7" s="29">
        <f>MQT!P7</f>
        <v>1.1499999999999999</v>
      </c>
      <c r="Q7" s="29">
        <f>MQT!Q7</f>
        <v>1.25</v>
      </c>
      <c r="R7" s="29">
        <f>MQT!R7</f>
        <v>1.25</v>
      </c>
      <c r="S7" s="29">
        <f>MQT!S7</f>
        <v>1.25</v>
      </c>
      <c r="T7" s="29">
        <f>MQT!T7</f>
        <v>1.25</v>
      </c>
      <c r="U7" s="29">
        <f>MQT!U7</f>
        <v>1.25</v>
      </c>
    </row>
    <row r="8" spans="1:21" x14ac:dyDescent="0.25">
      <c r="A8" s="137">
        <v>1</v>
      </c>
      <c r="B8" s="213" t="str">
        <f>MQT!B8</f>
        <v>Quarto 01 - Crianças</v>
      </c>
      <c r="C8" s="138"/>
      <c r="D8" s="138"/>
      <c r="E8" s="139"/>
      <c r="F8" s="140" t="e">
        <f>('Lista de custos obra'!$G$49)*M8</f>
        <v>#REF!</v>
      </c>
      <c r="G8" s="141"/>
      <c r="H8" s="140" t="e">
        <f>SUM(H9:H12)</f>
        <v>#REF!</v>
      </c>
      <c r="I8" s="187"/>
      <c r="J8" s="173" t="e">
        <f>SUM(J9:J12)</f>
        <v>#REF!</v>
      </c>
      <c r="K8" s="306"/>
      <c r="L8" s="306"/>
      <c r="M8" s="141" t="e">
        <f>H8/$H$68</f>
        <v>#REF!</v>
      </c>
      <c r="N8" s="174">
        <f>$P$7*R4</f>
        <v>1.1499999999999999</v>
      </c>
      <c r="O8" s="201"/>
    </row>
    <row r="9" spans="1:21" ht="72" x14ac:dyDescent="0.25">
      <c r="A9" s="142" t="s">
        <v>3</v>
      </c>
      <c r="B9" s="143" t="str">
        <f>MQT!B9</f>
        <v>Solução para tetos interiores, constituída por estrutura com perfis metálicos horizontais F530 afastados a cada 500 mm, suspensos por elementos verticais fixados ao teto, nos quais é fixada 1 camada de placas Gyptec BA13A (STANDARD). Massas, bandas para juntas e acessórios de fixação. Superfícies prontas para acabamento final de pintura ou decoração</v>
      </c>
      <c r="C9" s="144"/>
      <c r="D9" s="145"/>
      <c r="E9" s="121"/>
      <c r="F9" s="146"/>
      <c r="G9" s="20">
        <f>MQT!G9</f>
        <v>496.59999999999991</v>
      </c>
      <c r="H9" s="20">
        <f>MQT!H9</f>
        <v>496.59999999999991</v>
      </c>
      <c r="I9" s="188"/>
      <c r="J9" s="175">
        <f>H9-F9</f>
        <v>496.59999999999991</v>
      </c>
      <c r="K9" s="301" t="e">
        <f>(H9/F9)-100%</f>
        <v>#DIV/0!</v>
      </c>
      <c r="L9" s="301"/>
      <c r="M9" s="20"/>
      <c r="N9" s="123"/>
      <c r="O9" s="188"/>
    </row>
    <row r="10" spans="1:21" ht="48" x14ac:dyDescent="0.25">
      <c r="A10" s="142" t="s">
        <v>10</v>
      </c>
      <c r="B10" s="143" t="str">
        <f>MQT!B10</f>
        <v>Execução de esquema de pintura em teto com Tinta Robbialac 2 em 1 branco, aplicado em 2 demão. Inclui proteção de rodapé, caixilharias, guarnições de portas, utilizando fita multisuperficies, e manga plástica para pavimento</v>
      </c>
      <c r="C10" s="144"/>
      <c r="D10" s="145"/>
      <c r="E10" s="121"/>
      <c r="F10" s="146"/>
      <c r="G10" s="20">
        <f>MQT!G10</f>
        <v>278.84999999999997</v>
      </c>
      <c r="H10" s="20">
        <f>MQT!H10</f>
        <v>278.84999999999997</v>
      </c>
      <c r="I10" s="188"/>
      <c r="J10" s="175">
        <f t="shared" ref="J10:J21" si="0">H10-F10</f>
        <v>278.84999999999997</v>
      </c>
      <c r="K10" s="301" t="e">
        <f t="shared" ref="K10:K12" si="1">(H10/F10)-100%</f>
        <v>#DIV/0!</v>
      </c>
      <c r="L10" s="301"/>
      <c r="M10" s="20"/>
      <c r="N10" s="123"/>
      <c r="O10" s="188"/>
    </row>
    <row r="11" spans="1:21" x14ac:dyDescent="0.25">
      <c r="A11" s="142" t="s">
        <v>11</v>
      </c>
      <c r="B11" s="143" t="str">
        <f>MQT!B11</f>
        <v>Fornecimento de Sanca HOMESTAR A5 200X3.5X3.5cm em todo perimetro do teto falso.</v>
      </c>
      <c r="C11" s="144"/>
      <c r="D11" s="145"/>
      <c r="E11" s="121"/>
      <c r="F11" s="146"/>
      <c r="G11" s="20">
        <f>MQT!G11</f>
        <v>211.523</v>
      </c>
      <c r="H11" s="20">
        <f>MQT!H11</f>
        <v>211.523</v>
      </c>
      <c r="I11" s="188"/>
      <c r="J11" s="175">
        <f t="shared" si="0"/>
        <v>211.523</v>
      </c>
      <c r="K11" s="301" t="e">
        <f t="shared" si="1"/>
        <v>#DIV/0!</v>
      </c>
      <c r="L11" s="301"/>
      <c r="M11" s="20"/>
      <c r="N11" s="123"/>
      <c r="O11" s="188"/>
    </row>
    <row r="12" spans="1:21" x14ac:dyDescent="0.25">
      <c r="A12" s="142" t="s">
        <v>16</v>
      </c>
      <c r="B12" s="143" t="e">
        <f>MQT!#REF!</f>
        <v>#REF!</v>
      </c>
      <c r="C12" s="144"/>
      <c r="D12" s="145"/>
      <c r="E12" s="121"/>
      <c r="F12" s="146"/>
      <c r="G12" s="20" t="e">
        <f>MQT!#REF!</f>
        <v>#REF!</v>
      </c>
      <c r="H12" s="20" t="e">
        <f>MQT!#REF!</f>
        <v>#REF!</v>
      </c>
      <c r="I12" s="188"/>
      <c r="J12" s="175" t="e">
        <f t="shared" si="0"/>
        <v>#REF!</v>
      </c>
      <c r="K12" s="301" t="e">
        <f t="shared" si="1"/>
        <v>#REF!</v>
      </c>
      <c r="L12" s="301"/>
      <c r="M12" s="20"/>
      <c r="N12" s="123"/>
      <c r="O12" s="188"/>
    </row>
    <row r="13" spans="1:21" x14ac:dyDescent="0.25">
      <c r="A13" s="137">
        <v>2</v>
      </c>
      <c r="B13" s="213">
        <f>MQT!B12</f>
        <v>0</v>
      </c>
      <c r="C13" s="138"/>
      <c r="D13" s="147"/>
      <c r="E13" s="148"/>
      <c r="F13" s="140" t="e">
        <f>('Lista de custos obra'!$G$49)*M13</f>
        <v>#REF!</v>
      </c>
      <c r="G13" s="215"/>
      <c r="H13" s="149">
        <f>MQT!H12</f>
        <v>984.08699999999976</v>
      </c>
      <c r="I13" s="189"/>
      <c r="J13" s="176">
        <f>SUM(J14:J17)</f>
        <v>984.08699999999976</v>
      </c>
      <c r="K13" s="300"/>
      <c r="L13" s="300"/>
      <c r="M13" s="141" t="e">
        <f>H13/$H$68</f>
        <v>#REF!</v>
      </c>
      <c r="N13" s="174">
        <f>$P$7*R4</f>
        <v>1.1499999999999999</v>
      </c>
      <c r="O13" s="202"/>
    </row>
    <row r="14" spans="1:21" ht="18.75" customHeight="1" x14ac:dyDescent="0.25">
      <c r="A14" s="142" t="s">
        <v>4</v>
      </c>
      <c r="B14" s="143" t="str">
        <f>MQT!B13</f>
        <v>Solução para tetos interiores, constituída por estrutura com perfis metálicos horizontais F530 afastados a cada 500 mm, suspensos por elementos verticais fixados ao teto, nos quais é fixada 1 camada de placas Gyptec BA13A (STANDARD). Massas, bandas para juntas e acessórios de fixação. Superfícies prontas para acabamento final de pintura ou decoração</v>
      </c>
      <c r="C14" s="144"/>
      <c r="D14" s="145"/>
      <c r="E14" s="121"/>
      <c r="F14" s="121"/>
      <c r="G14" s="20">
        <f>MQT!G13</f>
        <v>496.59999999999991</v>
      </c>
      <c r="H14" s="20">
        <f>MQT!H13</f>
        <v>496.59999999999991</v>
      </c>
      <c r="I14" s="188"/>
      <c r="J14" s="175">
        <f t="shared" si="0"/>
        <v>496.59999999999991</v>
      </c>
      <c r="K14" s="301" t="e">
        <f>(H14/F14)-100%</f>
        <v>#DIV/0!</v>
      </c>
      <c r="L14" s="301"/>
      <c r="M14" s="20"/>
      <c r="N14" s="123"/>
      <c r="O14" s="188"/>
    </row>
    <row r="15" spans="1:21" ht="18.75" customHeight="1" x14ac:dyDescent="0.25">
      <c r="A15" s="142" t="s">
        <v>5</v>
      </c>
      <c r="B15" s="143" t="str">
        <f>MQT!B14</f>
        <v>Execução de esquema de pintura em teto com Tinta Robbialac 2 em 1 branco, aplicado em 2 demão. Inclui proteção de rodapé, caixilharias, guarnições de portas, utilizando fita multisuperficies, e manga plástica para pavimento</v>
      </c>
      <c r="C15" s="144"/>
      <c r="D15" s="145"/>
      <c r="E15" s="121"/>
      <c r="F15" s="121"/>
      <c r="G15" s="20">
        <f>MQT!G14</f>
        <v>272.34999999999997</v>
      </c>
      <c r="H15" s="20">
        <f>MQT!H14</f>
        <v>272.34999999999997</v>
      </c>
      <c r="I15" s="188"/>
      <c r="J15" s="175">
        <f t="shared" si="0"/>
        <v>272.34999999999997</v>
      </c>
      <c r="K15" s="301" t="e">
        <f t="shared" ref="K15:K17" si="2">(H15/F15)-100%</f>
        <v>#DIV/0!</v>
      </c>
      <c r="L15" s="301"/>
      <c r="M15" s="20"/>
      <c r="N15" s="123"/>
      <c r="O15" s="188"/>
    </row>
    <row r="16" spans="1:21" ht="18.75" customHeight="1" x14ac:dyDescent="0.25">
      <c r="A16" s="142" t="s">
        <v>6</v>
      </c>
      <c r="B16" s="143" t="str">
        <f>MQT!B15</f>
        <v>Fornecimento de Sanca HOMESTAR A5 200X3.5X3.5cm em todo perimetro do teto falso.</v>
      </c>
      <c r="C16" s="144"/>
      <c r="D16" s="145"/>
      <c r="E16" s="121"/>
      <c r="F16" s="121"/>
      <c r="G16" s="20">
        <f>MQT!G15</f>
        <v>215.137</v>
      </c>
      <c r="H16" s="20">
        <f>MQT!H15</f>
        <v>215.137</v>
      </c>
      <c r="I16" s="188"/>
      <c r="J16" s="175">
        <f t="shared" si="0"/>
        <v>215.137</v>
      </c>
      <c r="K16" s="301" t="e">
        <f t="shared" si="2"/>
        <v>#DIV/0!</v>
      </c>
      <c r="L16" s="301"/>
      <c r="M16" s="20"/>
      <c r="N16" s="123"/>
      <c r="O16" s="188"/>
    </row>
    <row r="17" spans="1:15" ht="18.75" customHeight="1" x14ac:dyDescent="0.25">
      <c r="A17" s="142" t="s">
        <v>17</v>
      </c>
      <c r="B17" s="143">
        <f>MQT!B16</f>
        <v>0</v>
      </c>
      <c r="C17" s="144"/>
      <c r="D17" s="145"/>
      <c r="E17" s="121"/>
      <c r="F17" s="121"/>
      <c r="G17" s="20">
        <f>MQT!G16</f>
        <v>0</v>
      </c>
      <c r="H17" s="20">
        <f>MQT!H16</f>
        <v>0</v>
      </c>
      <c r="I17" s="188"/>
      <c r="J17" s="175">
        <f t="shared" si="0"/>
        <v>0</v>
      </c>
      <c r="K17" s="301" t="e">
        <f t="shared" si="2"/>
        <v>#DIV/0!</v>
      </c>
      <c r="L17" s="301"/>
      <c r="M17" s="20"/>
      <c r="N17" s="123"/>
      <c r="O17" s="188"/>
    </row>
    <row r="18" spans="1:15" x14ac:dyDescent="0.25">
      <c r="A18" s="137">
        <v>3</v>
      </c>
      <c r="B18" s="213">
        <f>MQT!B17</f>
        <v>0</v>
      </c>
      <c r="C18" s="138"/>
      <c r="D18" s="147"/>
      <c r="E18" s="148"/>
      <c r="F18" s="140" t="e">
        <f>('Lista de custos obra'!$G$49)*M18</f>
        <v>#REF!</v>
      </c>
      <c r="G18" s="215"/>
      <c r="H18" s="149">
        <f>MQT!H17</f>
        <v>0</v>
      </c>
      <c r="I18" s="189"/>
      <c r="J18" s="176" t="e">
        <f>SUM(J19:J22)</f>
        <v>#REF!</v>
      </c>
      <c r="K18" s="300"/>
      <c r="L18" s="300"/>
      <c r="M18" s="141" t="e">
        <f>H18/$H$68</f>
        <v>#REF!</v>
      </c>
      <c r="N18" s="174">
        <f>$P$7*R4</f>
        <v>1.1499999999999999</v>
      </c>
      <c r="O18" s="202"/>
    </row>
    <row r="19" spans="1:15" ht="17.25" customHeight="1" x14ac:dyDescent="0.25">
      <c r="A19" s="31" t="s">
        <v>7</v>
      </c>
      <c r="B19" s="143" t="e">
        <f>MQT!#REF!</f>
        <v>#REF!</v>
      </c>
      <c r="C19" s="120"/>
      <c r="D19" s="32"/>
      <c r="E19" s="121"/>
      <c r="F19" s="122"/>
      <c r="G19" s="20" t="e">
        <f>MQT!#REF!</f>
        <v>#REF!</v>
      </c>
      <c r="H19" s="73" t="e">
        <f>MQT!#REF!</f>
        <v>#REF!</v>
      </c>
      <c r="I19" s="190"/>
      <c r="J19" s="175" t="e">
        <f t="shared" si="0"/>
        <v>#REF!</v>
      </c>
      <c r="K19" s="301" t="e">
        <f t="shared" ref="K19:K22" si="3">(H19/F19)-100%</f>
        <v>#REF!</v>
      </c>
      <c r="L19" s="301"/>
      <c r="M19" s="20"/>
      <c r="N19" s="123"/>
      <c r="O19" s="188"/>
    </row>
    <row r="20" spans="1:15" ht="17.25" customHeight="1" x14ac:dyDescent="0.25">
      <c r="A20" s="31" t="s">
        <v>8</v>
      </c>
      <c r="B20" s="143" t="e">
        <f>MQT!#REF!</f>
        <v>#REF!</v>
      </c>
      <c r="C20" s="120"/>
      <c r="D20" s="32"/>
      <c r="E20" s="121"/>
      <c r="F20" s="122"/>
      <c r="G20" s="20" t="e">
        <f>MQT!#REF!</f>
        <v>#REF!</v>
      </c>
      <c r="H20" s="73" t="e">
        <f>MQT!#REF!</f>
        <v>#REF!</v>
      </c>
      <c r="I20" s="190"/>
      <c r="J20" s="175" t="e">
        <f t="shared" si="0"/>
        <v>#REF!</v>
      </c>
      <c r="K20" s="301" t="e">
        <f t="shared" si="3"/>
        <v>#REF!</v>
      </c>
      <c r="L20" s="301"/>
      <c r="M20" s="20"/>
      <c r="N20" s="123"/>
      <c r="O20" s="188"/>
    </row>
    <row r="21" spans="1:15" ht="17.25" customHeight="1" x14ac:dyDescent="0.25">
      <c r="A21" s="31" t="s">
        <v>9</v>
      </c>
      <c r="B21" s="143" t="e">
        <f>MQT!#REF!</f>
        <v>#REF!</v>
      </c>
      <c r="C21" s="120"/>
      <c r="D21" s="32"/>
      <c r="E21" s="121"/>
      <c r="F21" s="122"/>
      <c r="G21" s="20" t="e">
        <f>MQT!#REF!</f>
        <v>#REF!</v>
      </c>
      <c r="H21" s="73" t="e">
        <f>MQT!#REF!</f>
        <v>#REF!</v>
      </c>
      <c r="I21" s="190"/>
      <c r="J21" s="175" t="e">
        <f t="shared" si="0"/>
        <v>#REF!</v>
      </c>
      <c r="K21" s="301" t="e">
        <f t="shared" si="3"/>
        <v>#REF!</v>
      </c>
      <c r="L21" s="301"/>
      <c r="M21" s="20"/>
      <c r="N21" s="123"/>
      <c r="O21" s="188"/>
    </row>
    <row r="22" spans="1:15" ht="17.25" customHeight="1" x14ac:dyDescent="0.25">
      <c r="A22" s="31" t="s">
        <v>18</v>
      </c>
      <c r="B22" s="143" t="e">
        <f>MQT!#REF!</f>
        <v>#REF!</v>
      </c>
      <c r="C22" s="120"/>
      <c r="D22" s="32"/>
      <c r="E22" s="121"/>
      <c r="F22" s="122"/>
      <c r="G22" s="20" t="e">
        <f>MQT!#REF!</f>
        <v>#REF!</v>
      </c>
      <c r="H22" s="73" t="e">
        <f>MQT!#REF!</f>
        <v>#REF!</v>
      </c>
      <c r="I22" s="190"/>
      <c r="J22" s="175" t="e">
        <f>H22-F22</f>
        <v>#REF!</v>
      </c>
      <c r="K22" s="301" t="e">
        <f t="shared" si="3"/>
        <v>#REF!</v>
      </c>
      <c r="L22" s="301"/>
      <c r="M22" s="20"/>
      <c r="N22" s="123"/>
      <c r="O22" s="188"/>
    </row>
    <row r="23" spans="1:15" x14ac:dyDescent="0.25">
      <c r="A23" s="137">
        <v>4</v>
      </c>
      <c r="B23" s="213" t="e">
        <f>MQT!#REF!</f>
        <v>#REF!</v>
      </c>
      <c r="C23" s="138"/>
      <c r="D23" s="147"/>
      <c r="E23" s="148"/>
      <c r="F23" s="140" t="e">
        <f>('Lista de custos obra'!$G$49)*M23</f>
        <v>#REF!</v>
      </c>
      <c r="G23" s="215"/>
      <c r="H23" s="149" t="e">
        <f>MQT!#REF!</f>
        <v>#REF!</v>
      </c>
      <c r="I23" s="189"/>
      <c r="J23" s="176" t="e">
        <f>SUM(J24:J27)</f>
        <v>#REF!</v>
      </c>
      <c r="K23" s="300"/>
      <c r="L23" s="300"/>
      <c r="M23" s="141" t="e">
        <f>H23/$H$68</f>
        <v>#REF!</v>
      </c>
      <c r="N23" s="174">
        <f>$P$7*R4</f>
        <v>1.1499999999999999</v>
      </c>
      <c r="O23" s="188"/>
    </row>
    <row r="24" spans="1:15" x14ac:dyDescent="0.25">
      <c r="A24" s="31" t="s">
        <v>45</v>
      </c>
      <c r="B24" s="143" t="e">
        <f>MQT!#REF!</f>
        <v>#REF!</v>
      </c>
      <c r="C24" s="120"/>
      <c r="D24" s="32"/>
      <c r="E24" s="121"/>
      <c r="F24" s="122"/>
      <c r="G24" s="20" t="e">
        <f>MQT!#REF!</f>
        <v>#REF!</v>
      </c>
      <c r="H24" s="73" t="e">
        <f>MQT!#REF!</f>
        <v>#REF!</v>
      </c>
      <c r="I24" s="190"/>
      <c r="J24" s="175" t="e">
        <f t="shared" ref="J24:J26" si="4">H24-F24</f>
        <v>#REF!</v>
      </c>
      <c r="K24" s="301" t="e">
        <f t="shared" ref="K24:K27" si="5">(H24/F24)-100%</f>
        <v>#REF!</v>
      </c>
      <c r="L24" s="301"/>
      <c r="M24" s="20"/>
      <c r="N24" s="123"/>
      <c r="O24" s="188"/>
    </row>
    <row r="25" spans="1:15" x14ac:dyDescent="0.25">
      <c r="A25" s="31" t="s">
        <v>46</v>
      </c>
      <c r="B25" s="143" t="e">
        <f>MQT!#REF!</f>
        <v>#REF!</v>
      </c>
      <c r="C25" s="120"/>
      <c r="D25" s="32"/>
      <c r="E25" s="121"/>
      <c r="F25" s="122"/>
      <c r="G25" s="20" t="e">
        <f>MQT!#REF!</f>
        <v>#REF!</v>
      </c>
      <c r="H25" s="73" t="e">
        <f>MQT!#REF!</f>
        <v>#REF!</v>
      </c>
      <c r="I25" s="190"/>
      <c r="J25" s="175" t="e">
        <f t="shared" si="4"/>
        <v>#REF!</v>
      </c>
      <c r="K25" s="301" t="e">
        <f t="shared" si="5"/>
        <v>#REF!</v>
      </c>
      <c r="L25" s="301"/>
      <c r="M25" s="20"/>
      <c r="N25" s="123"/>
      <c r="O25" s="188"/>
    </row>
    <row r="26" spans="1:15" x14ac:dyDescent="0.25">
      <c r="A26" s="31" t="s">
        <v>47</v>
      </c>
      <c r="B26" s="143" t="e">
        <f>MQT!#REF!</f>
        <v>#REF!</v>
      </c>
      <c r="C26" s="120"/>
      <c r="D26" s="32"/>
      <c r="E26" s="121"/>
      <c r="F26" s="122"/>
      <c r="G26" s="20" t="e">
        <f>MQT!#REF!</f>
        <v>#REF!</v>
      </c>
      <c r="H26" s="73" t="e">
        <f>MQT!#REF!</f>
        <v>#REF!</v>
      </c>
      <c r="I26" s="190"/>
      <c r="J26" s="175" t="e">
        <f t="shared" si="4"/>
        <v>#REF!</v>
      </c>
      <c r="K26" s="301" t="e">
        <f t="shared" si="5"/>
        <v>#REF!</v>
      </c>
      <c r="L26" s="301"/>
      <c r="M26" s="20"/>
      <c r="N26" s="123"/>
      <c r="O26" s="188"/>
    </row>
    <row r="27" spans="1:15" x14ac:dyDescent="0.25">
      <c r="A27" s="31" t="s">
        <v>48</v>
      </c>
      <c r="B27" s="143" t="e">
        <f>MQT!#REF!</f>
        <v>#REF!</v>
      </c>
      <c r="C27" s="120"/>
      <c r="D27" s="32"/>
      <c r="E27" s="121"/>
      <c r="F27" s="122"/>
      <c r="G27" s="20" t="e">
        <f>MQT!#REF!</f>
        <v>#REF!</v>
      </c>
      <c r="H27" s="73" t="e">
        <f>MQT!#REF!</f>
        <v>#REF!</v>
      </c>
      <c r="I27" s="190"/>
      <c r="J27" s="175" t="e">
        <f>H27-F27</f>
        <v>#REF!</v>
      </c>
      <c r="K27" s="301" t="e">
        <f t="shared" si="5"/>
        <v>#REF!</v>
      </c>
      <c r="L27" s="301"/>
      <c r="M27" s="20"/>
      <c r="N27" s="123"/>
      <c r="O27" s="188"/>
    </row>
    <row r="28" spans="1:15" x14ac:dyDescent="0.25">
      <c r="A28" s="137">
        <v>5</v>
      </c>
      <c r="B28" s="213" t="e">
        <f>MQT!#REF!</f>
        <v>#REF!</v>
      </c>
      <c r="C28" s="138"/>
      <c r="D28" s="147"/>
      <c r="E28" s="148"/>
      <c r="F28" s="140" t="e">
        <f>('Lista de custos obra'!$G$49)*M28</f>
        <v>#REF!</v>
      </c>
      <c r="G28" s="215"/>
      <c r="H28" s="149" t="e">
        <f>MQT!#REF!</f>
        <v>#REF!</v>
      </c>
      <c r="I28" s="189"/>
      <c r="J28" s="176" t="e">
        <f>SUM(J29:J32)</f>
        <v>#REF!</v>
      </c>
      <c r="K28" s="300"/>
      <c r="L28" s="300"/>
      <c r="M28" s="141" t="e">
        <f>H28/$H$68</f>
        <v>#REF!</v>
      </c>
      <c r="N28" s="174">
        <f>$P$7*R4</f>
        <v>1.1499999999999999</v>
      </c>
      <c r="O28" s="188"/>
    </row>
    <row r="29" spans="1:15" x14ac:dyDescent="0.25">
      <c r="A29" s="31" t="s">
        <v>49</v>
      </c>
      <c r="B29" s="143" t="e">
        <f>MQT!#REF!</f>
        <v>#REF!</v>
      </c>
      <c r="C29" s="120"/>
      <c r="D29" s="32"/>
      <c r="E29" s="121"/>
      <c r="F29" s="122"/>
      <c r="G29" s="20" t="e">
        <f>MQT!#REF!</f>
        <v>#REF!</v>
      </c>
      <c r="H29" s="73" t="e">
        <f>MQT!#REF!</f>
        <v>#REF!</v>
      </c>
      <c r="I29" s="190"/>
      <c r="J29" s="175" t="e">
        <f t="shared" ref="J29:J31" si="6">H29-F29</f>
        <v>#REF!</v>
      </c>
      <c r="K29" s="301" t="e">
        <f t="shared" ref="K29:K32" si="7">(H29/F29)-100%</f>
        <v>#REF!</v>
      </c>
      <c r="L29" s="301"/>
      <c r="M29" s="20"/>
      <c r="N29" s="123"/>
      <c r="O29" s="188"/>
    </row>
    <row r="30" spans="1:15" x14ac:dyDescent="0.25">
      <c r="A30" s="31" t="s">
        <v>50</v>
      </c>
      <c r="B30" s="143" t="e">
        <f>MQT!#REF!</f>
        <v>#REF!</v>
      </c>
      <c r="C30" s="120"/>
      <c r="D30" s="32"/>
      <c r="E30" s="121"/>
      <c r="F30" s="122"/>
      <c r="G30" s="20" t="e">
        <f>MQT!#REF!</f>
        <v>#REF!</v>
      </c>
      <c r="H30" s="73" t="e">
        <f>MQT!#REF!</f>
        <v>#REF!</v>
      </c>
      <c r="I30" s="190"/>
      <c r="J30" s="175" t="e">
        <f t="shared" si="6"/>
        <v>#REF!</v>
      </c>
      <c r="K30" s="301" t="e">
        <f t="shared" si="7"/>
        <v>#REF!</v>
      </c>
      <c r="L30" s="301"/>
      <c r="M30" s="20"/>
      <c r="N30" s="123"/>
      <c r="O30" s="188"/>
    </row>
    <row r="31" spans="1:15" x14ac:dyDescent="0.25">
      <c r="A31" s="31" t="s">
        <v>51</v>
      </c>
      <c r="B31" s="143" t="e">
        <f>MQT!#REF!</f>
        <v>#REF!</v>
      </c>
      <c r="C31" s="120"/>
      <c r="D31" s="32"/>
      <c r="E31" s="121"/>
      <c r="F31" s="122"/>
      <c r="G31" s="20" t="e">
        <f>MQT!#REF!</f>
        <v>#REF!</v>
      </c>
      <c r="H31" s="73" t="e">
        <f>MQT!#REF!</f>
        <v>#REF!</v>
      </c>
      <c r="I31" s="190"/>
      <c r="J31" s="175" t="e">
        <f t="shared" si="6"/>
        <v>#REF!</v>
      </c>
      <c r="K31" s="301" t="e">
        <f t="shared" si="7"/>
        <v>#REF!</v>
      </c>
      <c r="L31" s="301"/>
      <c r="M31" s="20"/>
      <c r="N31" s="123"/>
      <c r="O31" s="188"/>
    </row>
    <row r="32" spans="1:15" x14ac:dyDescent="0.25">
      <c r="A32" s="31" t="s">
        <v>52</v>
      </c>
      <c r="B32" s="143" t="e">
        <f>MQT!#REF!</f>
        <v>#REF!</v>
      </c>
      <c r="C32" s="120"/>
      <c r="D32" s="32"/>
      <c r="E32" s="121"/>
      <c r="F32" s="122"/>
      <c r="G32" s="20" t="e">
        <f>MQT!#REF!</f>
        <v>#REF!</v>
      </c>
      <c r="H32" s="73" t="e">
        <f>MQT!#REF!</f>
        <v>#REF!</v>
      </c>
      <c r="I32" s="190"/>
      <c r="J32" s="175" t="e">
        <f>H32-F32</f>
        <v>#REF!</v>
      </c>
      <c r="K32" s="301" t="e">
        <f t="shared" si="7"/>
        <v>#REF!</v>
      </c>
      <c r="L32" s="301"/>
      <c r="M32" s="20"/>
      <c r="N32" s="123"/>
      <c r="O32" s="188"/>
    </row>
    <row r="33" spans="1:15" x14ac:dyDescent="0.25">
      <c r="A33" s="137">
        <v>6</v>
      </c>
      <c r="B33" s="213" t="e">
        <f>MQT!#REF!</f>
        <v>#REF!</v>
      </c>
      <c r="C33" s="138"/>
      <c r="D33" s="147"/>
      <c r="E33" s="148"/>
      <c r="F33" s="140" t="e">
        <f>('Lista de custos obra'!$G$49)*M33</f>
        <v>#REF!</v>
      </c>
      <c r="G33" s="215"/>
      <c r="H33" s="149" t="e">
        <f>MQT!#REF!</f>
        <v>#REF!</v>
      </c>
      <c r="I33" s="189"/>
      <c r="J33" s="176" t="e">
        <f>SUM(J34:J37)</f>
        <v>#REF!</v>
      </c>
      <c r="K33" s="300"/>
      <c r="L33" s="300"/>
      <c r="M33" s="141" t="e">
        <f>H33/$H$68</f>
        <v>#REF!</v>
      </c>
      <c r="N33" s="174">
        <f>$P$7*R4</f>
        <v>1.1499999999999999</v>
      </c>
      <c r="O33" s="188"/>
    </row>
    <row r="34" spans="1:15" x14ac:dyDescent="0.25">
      <c r="A34" s="31" t="s">
        <v>53</v>
      </c>
      <c r="B34" s="143" t="e">
        <f>MQT!#REF!</f>
        <v>#REF!</v>
      </c>
      <c r="C34" s="120"/>
      <c r="D34" s="32"/>
      <c r="E34" s="121"/>
      <c r="F34" s="122"/>
      <c r="G34" s="20" t="e">
        <f>MQT!#REF!</f>
        <v>#REF!</v>
      </c>
      <c r="H34" s="73" t="e">
        <f>MQT!#REF!</f>
        <v>#REF!</v>
      </c>
      <c r="I34" s="190"/>
      <c r="J34" s="175" t="e">
        <f t="shared" ref="J34:J36" si="8">H34-F34</f>
        <v>#REF!</v>
      </c>
      <c r="K34" s="301" t="e">
        <f t="shared" ref="K34:K37" si="9">(H34/F34)-100%</f>
        <v>#REF!</v>
      </c>
      <c r="L34" s="301"/>
      <c r="M34" s="20"/>
      <c r="N34" s="123"/>
      <c r="O34" s="188"/>
    </row>
    <row r="35" spans="1:15" x14ac:dyDescent="0.25">
      <c r="A35" s="31" t="s">
        <v>54</v>
      </c>
      <c r="B35" s="143" t="e">
        <f>MQT!#REF!</f>
        <v>#REF!</v>
      </c>
      <c r="C35" s="120"/>
      <c r="D35" s="32"/>
      <c r="E35" s="121"/>
      <c r="F35" s="122"/>
      <c r="G35" s="20" t="e">
        <f>MQT!#REF!</f>
        <v>#REF!</v>
      </c>
      <c r="H35" s="73" t="e">
        <f>MQT!#REF!</f>
        <v>#REF!</v>
      </c>
      <c r="I35" s="190"/>
      <c r="J35" s="175" t="e">
        <f t="shared" si="8"/>
        <v>#REF!</v>
      </c>
      <c r="K35" s="301" t="e">
        <f t="shared" si="9"/>
        <v>#REF!</v>
      </c>
      <c r="L35" s="301"/>
      <c r="M35" s="20"/>
      <c r="N35" s="123"/>
      <c r="O35" s="188"/>
    </row>
    <row r="36" spans="1:15" x14ac:dyDescent="0.25">
      <c r="A36" s="31" t="s">
        <v>55</v>
      </c>
      <c r="B36" s="143" t="e">
        <f>MQT!#REF!</f>
        <v>#REF!</v>
      </c>
      <c r="C36" s="120"/>
      <c r="D36" s="32"/>
      <c r="E36" s="121"/>
      <c r="F36" s="122"/>
      <c r="G36" s="20" t="e">
        <f>MQT!#REF!</f>
        <v>#REF!</v>
      </c>
      <c r="H36" s="73" t="e">
        <f>MQT!#REF!</f>
        <v>#REF!</v>
      </c>
      <c r="I36" s="190"/>
      <c r="J36" s="175" t="e">
        <f t="shared" si="8"/>
        <v>#REF!</v>
      </c>
      <c r="K36" s="301" t="e">
        <f t="shared" si="9"/>
        <v>#REF!</v>
      </c>
      <c r="L36" s="301"/>
      <c r="M36" s="20"/>
      <c r="N36" s="123"/>
      <c r="O36" s="188"/>
    </row>
    <row r="37" spans="1:15" x14ac:dyDescent="0.25">
      <c r="A37" s="31" t="s">
        <v>56</v>
      </c>
      <c r="B37" s="143" t="e">
        <f>MQT!#REF!</f>
        <v>#REF!</v>
      </c>
      <c r="C37" s="120"/>
      <c r="D37" s="32"/>
      <c r="E37" s="121"/>
      <c r="F37" s="122"/>
      <c r="G37" s="20" t="e">
        <f>MQT!#REF!</f>
        <v>#REF!</v>
      </c>
      <c r="H37" s="73" t="e">
        <f>MQT!#REF!</f>
        <v>#REF!</v>
      </c>
      <c r="I37" s="190"/>
      <c r="J37" s="175" t="e">
        <f>H37-F37</f>
        <v>#REF!</v>
      </c>
      <c r="K37" s="301" t="e">
        <f t="shared" si="9"/>
        <v>#REF!</v>
      </c>
      <c r="L37" s="301"/>
      <c r="M37" s="20"/>
      <c r="N37" s="123"/>
      <c r="O37" s="188"/>
    </row>
    <row r="38" spans="1:15" x14ac:dyDescent="0.25">
      <c r="A38" s="137">
        <v>7</v>
      </c>
      <c r="B38" s="213" t="e">
        <f>MQT!#REF!</f>
        <v>#REF!</v>
      </c>
      <c r="C38" s="138"/>
      <c r="D38" s="147"/>
      <c r="E38" s="148"/>
      <c r="F38" s="140" t="e">
        <f>('Lista de custos obra'!$G$49)*M38</f>
        <v>#REF!</v>
      </c>
      <c r="G38" s="215"/>
      <c r="H38" s="149" t="e">
        <f>MQT!#REF!</f>
        <v>#REF!</v>
      </c>
      <c r="I38" s="189"/>
      <c r="J38" s="176" t="e">
        <f>SUM(J39:J42)</f>
        <v>#REF!</v>
      </c>
      <c r="K38" s="300"/>
      <c r="L38" s="300"/>
      <c r="M38" s="141" t="e">
        <f>H38/$H$68</f>
        <v>#REF!</v>
      </c>
      <c r="N38" s="174">
        <f>$P$7*R4</f>
        <v>1.1499999999999999</v>
      </c>
      <c r="O38" s="188"/>
    </row>
    <row r="39" spans="1:15" x14ac:dyDescent="0.25">
      <c r="A39" s="31" t="s">
        <v>57</v>
      </c>
      <c r="B39" s="143" t="e">
        <f>MQT!#REF!</f>
        <v>#REF!</v>
      </c>
      <c r="C39" s="120"/>
      <c r="D39" s="32"/>
      <c r="E39" s="121"/>
      <c r="F39" s="122"/>
      <c r="G39" s="20" t="e">
        <f>MQT!#REF!</f>
        <v>#REF!</v>
      </c>
      <c r="H39" s="73" t="e">
        <f>MQT!#REF!</f>
        <v>#REF!</v>
      </c>
      <c r="I39" s="190"/>
      <c r="J39" s="175" t="e">
        <f t="shared" ref="J39:J41" si="10">H39-F39</f>
        <v>#REF!</v>
      </c>
      <c r="K39" s="301" t="e">
        <f t="shared" ref="K39:K42" si="11">(H39/F39)-100%</f>
        <v>#REF!</v>
      </c>
      <c r="L39" s="301"/>
      <c r="M39" s="20"/>
      <c r="N39" s="123"/>
      <c r="O39" s="188"/>
    </row>
    <row r="40" spans="1:15" x14ac:dyDescent="0.25">
      <c r="A40" s="31" t="s">
        <v>58</v>
      </c>
      <c r="B40" s="143" t="e">
        <f>MQT!#REF!</f>
        <v>#REF!</v>
      </c>
      <c r="C40" s="120"/>
      <c r="D40" s="32"/>
      <c r="E40" s="121"/>
      <c r="F40" s="122"/>
      <c r="G40" s="20" t="e">
        <f>MQT!#REF!</f>
        <v>#REF!</v>
      </c>
      <c r="H40" s="73" t="e">
        <f>MQT!#REF!</f>
        <v>#REF!</v>
      </c>
      <c r="I40" s="190"/>
      <c r="J40" s="175" t="e">
        <f t="shared" si="10"/>
        <v>#REF!</v>
      </c>
      <c r="K40" s="301" t="e">
        <f t="shared" si="11"/>
        <v>#REF!</v>
      </c>
      <c r="L40" s="301"/>
      <c r="M40" s="20"/>
      <c r="N40" s="123"/>
      <c r="O40" s="188"/>
    </row>
    <row r="41" spans="1:15" x14ac:dyDescent="0.25">
      <c r="A41" s="31" t="s">
        <v>59</v>
      </c>
      <c r="B41" s="143" t="e">
        <f>MQT!#REF!</f>
        <v>#REF!</v>
      </c>
      <c r="C41" s="120"/>
      <c r="D41" s="32"/>
      <c r="E41" s="121"/>
      <c r="F41" s="122"/>
      <c r="G41" s="20" t="e">
        <f>MQT!#REF!</f>
        <v>#REF!</v>
      </c>
      <c r="H41" s="73" t="e">
        <f>MQT!#REF!</f>
        <v>#REF!</v>
      </c>
      <c r="I41" s="190"/>
      <c r="J41" s="175" t="e">
        <f t="shared" si="10"/>
        <v>#REF!</v>
      </c>
      <c r="K41" s="301" t="e">
        <f t="shared" si="11"/>
        <v>#REF!</v>
      </c>
      <c r="L41" s="301"/>
      <c r="M41" s="20"/>
      <c r="N41" s="123"/>
      <c r="O41" s="188"/>
    </row>
    <row r="42" spans="1:15" x14ac:dyDescent="0.25">
      <c r="A42" s="31" t="s">
        <v>60</v>
      </c>
      <c r="B42" s="143" t="e">
        <f>MQT!#REF!</f>
        <v>#REF!</v>
      </c>
      <c r="C42" s="120"/>
      <c r="D42" s="32"/>
      <c r="E42" s="121"/>
      <c r="F42" s="122"/>
      <c r="G42" s="20" t="e">
        <f>MQT!#REF!</f>
        <v>#REF!</v>
      </c>
      <c r="H42" s="73" t="e">
        <f>MQT!#REF!</f>
        <v>#REF!</v>
      </c>
      <c r="I42" s="190"/>
      <c r="J42" s="175" t="e">
        <f>H42-F42</f>
        <v>#REF!</v>
      </c>
      <c r="K42" s="301" t="e">
        <f t="shared" si="11"/>
        <v>#REF!</v>
      </c>
      <c r="L42" s="301"/>
      <c r="M42" s="20"/>
      <c r="N42" s="123"/>
      <c r="O42" s="188"/>
    </row>
    <row r="43" spans="1:15" x14ac:dyDescent="0.25">
      <c r="A43" s="137">
        <v>8</v>
      </c>
      <c r="B43" s="213" t="e">
        <f>MQT!#REF!</f>
        <v>#REF!</v>
      </c>
      <c r="C43" s="138"/>
      <c r="D43" s="147"/>
      <c r="E43" s="148"/>
      <c r="F43" s="140" t="e">
        <f>('Lista de custos obra'!$G$49)*M43</f>
        <v>#REF!</v>
      </c>
      <c r="G43" s="215"/>
      <c r="H43" s="149" t="e">
        <f>MQT!#REF!</f>
        <v>#REF!</v>
      </c>
      <c r="I43" s="189"/>
      <c r="J43" s="176" t="e">
        <f>SUM(J44:J47)</f>
        <v>#REF!</v>
      </c>
      <c r="K43" s="300"/>
      <c r="L43" s="300"/>
      <c r="M43" s="141" t="e">
        <f>H43/$H$68</f>
        <v>#REF!</v>
      </c>
      <c r="N43" s="174">
        <f>$P$7*R4</f>
        <v>1.1499999999999999</v>
      </c>
      <c r="O43" s="188"/>
    </row>
    <row r="44" spans="1:15" x14ac:dyDescent="0.25">
      <c r="A44" s="31" t="s">
        <v>61</v>
      </c>
      <c r="B44" s="143" t="e">
        <f>MQT!#REF!</f>
        <v>#REF!</v>
      </c>
      <c r="C44" s="120"/>
      <c r="D44" s="32"/>
      <c r="E44" s="121"/>
      <c r="F44" s="122"/>
      <c r="G44" s="20" t="e">
        <f>MQT!#REF!</f>
        <v>#REF!</v>
      </c>
      <c r="H44" s="73" t="e">
        <f>MQT!#REF!</f>
        <v>#REF!</v>
      </c>
      <c r="I44" s="190"/>
      <c r="J44" s="175" t="e">
        <f t="shared" ref="J44:J46" si="12">H44-F44</f>
        <v>#REF!</v>
      </c>
      <c r="K44" s="301" t="e">
        <f t="shared" ref="K44:K47" si="13">(H44/F44)-100%</f>
        <v>#REF!</v>
      </c>
      <c r="L44" s="301"/>
      <c r="M44" s="20"/>
      <c r="N44" s="123"/>
      <c r="O44" s="188"/>
    </row>
    <row r="45" spans="1:15" x14ac:dyDescent="0.25">
      <c r="A45" s="31" t="s">
        <v>62</v>
      </c>
      <c r="B45" s="143" t="e">
        <f>MQT!#REF!</f>
        <v>#REF!</v>
      </c>
      <c r="C45" s="120"/>
      <c r="D45" s="32"/>
      <c r="E45" s="121"/>
      <c r="F45" s="122"/>
      <c r="G45" s="20" t="e">
        <f>MQT!#REF!</f>
        <v>#REF!</v>
      </c>
      <c r="H45" s="73" t="e">
        <f>MQT!#REF!</f>
        <v>#REF!</v>
      </c>
      <c r="I45" s="190"/>
      <c r="J45" s="175" t="e">
        <f t="shared" si="12"/>
        <v>#REF!</v>
      </c>
      <c r="K45" s="301" t="e">
        <f t="shared" si="13"/>
        <v>#REF!</v>
      </c>
      <c r="L45" s="301"/>
      <c r="M45" s="20"/>
      <c r="N45" s="123"/>
      <c r="O45" s="188"/>
    </row>
    <row r="46" spans="1:15" x14ac:dyDescent="0.25">
      <c r="A46" s="31" t="s">
        <v>63</v>
      </c>
      <c r="B46" s="143" t="e">
        <f>MQT!#REF!</f>
        <v>#REF!</v>
      </c>
      <c r="C46" s="120"/>
      <c r="D46" s="32"/>
      <c r="E46" s="121"/>
      <c r="F46" s="122"/>
      <c r="G46" s="20" t="e">
        <f>MQT!#REF!</f>
        <v>#REF!</v>
      </c>
      <c r="H46" s="73" t="e">
        <f>MQT!#REF!</f>
        <v>#REF!</v>
      </c>
      <c r="I46" s="190"/>
      <c r="J46" s="175" t="e">
        <f t="shared" si="12"/>
        <v>#REF!</v>
      </c>
      <c r="K46" s="301" t="e">
        <f t="shared" si="13"/>
        <v>#REF!</v>
      </c>
      <c r="L46" s="301"/>
      <c r="M46" s="20"/>
      <c r="N46" s="123"/>
      <c r="O46" s="188"/>
    </row>
    <row r="47" spans="1:15" x14ac:dyDescent="0.25">
      <c r="A47" s="31" t="s">
        <v>64</v>
      </c>
      <c r="B47" s="143" t="e">
        <f>MQT!#REF!</f>
        <v>#REF!</v>
      </c>
      <c r="C47" s="120"/>
      <c r="D47" s="32"/>
      <c r="E47" s="121"/>
      <c r="F47" s="122"/>
      <c r="G47" s="20" t="e">
        <f>MQT!#REF!</f>
        <v>#REF!</v>
      </c>
      <c r="H47" s="73" t="e">
        <f>MQT!#REF!</f>
        <v>#REF!</v>
      </c>
      <c r="I47" s="190"/>
      <c r="J47" s="175" t="e">
        <f>H47-F47</f>
        <v>#REF!</v>
      </c>
      <c r="K47" s="301" t="e">
        <f t="shared" si="13"/>
        <v>#REF!</v>
      </c>
      <c r="L47" s="301"/>
      <c r="M47" s="20"/>
      <c r="N47" s="123"/>
      <c r="O47" s="188"/>
    </row>
    <row r="48" spans="1:15" x14ac:dyDescent="0.25">
      <c r="A48" s="137">
        <v>9</v>
      </c>
      <c r="B48" s="213" t="e">
        <f>MQT!#REF!</f>
        <v>#REF!</v>
      </c>
      <c r="C48" s="138"/>
      <c r="D48" s="147"/>
      <c r="E48" s="148"/>
      <c r="F48" s="140" t="e">
        <f>('Lista de custos obra'!$G$49)*M48</f>
        <v>#REF!</v>
      </c>
      <c r="G48" s="215"/>
      <c r="H48" s="149" t="e">
        <f>MQT!#REF!</f>
        <v>#REF!</v>
      </c>
      <c r="I48" s="189"/>
      <c r="J48" s="176" t="e">
        <f>SUM(J49:J52)</f>
        <v>#REF!</v>
      </c>
      <c r="K48" s="300"/>
      <c r="L48" s="300"/>
      <c r="M48" s="141" t="e">
        <f>H48/$H$68</f>
        <v>#REF!</v>
      </c>
      <c r="N48" s="174">
        <f>$P$7*R4</f>
        <v>1.1499999999999999</v>
      </c>
      <c r="O48" s="188"/>
    </row>
    <row r="49" spans="1:15" x14ac:dyDescent="0.25">
      <c r="A49" s="31" t="s">
        <v>65</v>
      </c>
      <c r="B49" s="143" t="e">
        <f>MQT!#REF!</f>
        <v>#REF!</v>
      </c>
      <c r="C49" s="120"/>
      <c r="D49" s="32"/>
      <c r="E49" s="121"/>
      <c r="F49" s="122"/>
      <c r="G49" s="20" t="e">
        <f>MQT!#REF!</f>
        <v>#REF!</v>
      </c>
      <c r="H49" s="73" t="e">
        <f>MQT!#REF!</f>
        <v>#REF!</v>
      </c>
      <c r="I49" s="190"/>
      <c r="J49" s="175" t="e">
        <f t="shared" ref="J49:J51" si="14">H49-F49</f>
        <v>#REF!</v>
      </c>
      <c r="K49" s="301" t="e">
        <f t="shared" ref="K49:K52" si="15">(H49/F49)-100%</f>
        <v>#REF!</v>
      </c>
      <c r="L49" s="301"/>
      <c r="M49" s="20"/>
      <c r="N49" s="123"/>
      <c r="O49" s="188"/>
    </row>
    <row r="50" spans="1:15" x14ac:dyDescent="0.25">
      <c r="A50" s="31" t="s">
        <v>66</v>
      </c>
      <c r="B50" s="143" t="e">
        <f>MQT!#REF!</f>
        <v>#REF!</v>
      </c>
      <c r="C50" s="120"/>
      <c r="D50" s="32"/>
      <c r="E50" s="121"/>
      <c r="F50" s="122"/>
      <c r="G50" s="20" t="e">
        <f>MQT!#REF!</f>
        <v>#REF!</v>
      </c>
      <c r="H50" s="73" t="e">
        <f>MQT!#REF!</f>
        <v>#REF!</v>
      </c>
      <c r="I50" s="190"/>
      <c r="J50" s="175" t="e">
        <f t="shared" si="14"/>
        <v>#REF!</v>
      </c>
      <c r="K50" s="301" t="e">
        <f t="shared" si="15"/>
        <v>#REF!</v>
      </c>
      <c r="L50" s="301"/>
      <c r="M50" s="20"/>
      <c r="N50" s="123"/>
      <c r="O50" s="188"/>
    </row>
    <row r="51" spans="1:15" x14ac:dyDescent="0.25">
      <c r="A51" s="31" t="s">
        <v>67</v>
      </c>
      <c r="B51" s="143" t="e">
        <f>MQT!#REF!</f>
        <v>#REF!</v>
      </c>
      <c r="C51" s="120"/>
      <c r="D51" s="32"/>
      <c r="E51" s="121"/>
      <c r="F51" s="122"/>
      <c r="G51" s="20" t="e">
        <f>MQT!#REF!</f>
        <v>#REF!</v>
      </c>
      <c r="H51" s="73" t="e">
        <f>MQT!#REF!</f>
        <v>#REF!</v>
      </c>
      <c r="I51" s="190"/>
      <c r="J51" s="175" t="e">
        <f t="shared" si="14"/>
        <v>#REF!</v>
      </c>
      <c r="K51" s="301" t="e">
        <f t="shared" si="15"/>
        <v>#REF!</v>
      </c>
      <c r="L51" s="301"/>
      <c r="M51" s="20"/>
      <c r="N51" s="123"/>
      <c r="O51" s="188"/>
    </row>
    <row r="52" spans="1:15" x14ac:dyDescent="0.25">
      <c r="A52" s="31" t="s">
        <v>68</v>
      </c>
      <c r="B52" s="143" t="e">
        <f>MQT!#REF!</f>
        <v>#REF!</v>
      </c>
      <c r="C52" s="120"/>
      <c r="D52" s="32"/>
      <c r="E52" s="121"/>
      <c r="F52" s="122"/>
      <c r="G52" s="20" t="e">
        <f>MQT!#REF!</f>
        <v>#REF!</v>
      </c>
      <c r="H52" s="73" t="e">
        <f>MQT!#REF!</f>
        <v>#REF!</v>
      </c>
      <c r="I52" s="190"/>
      <c r="J52" s="175" t="e">
        <f>H52-F52</f>
        <v>#REF!</v>
      </c>
      <c r="K52" s="301" t="e">
        <f t="shared" si="15"/>
        <v>#REF!</v>
      </c>
      <c r="L52" s="301"/>
      <c r="M52" s="20"/>
      <c r="N52" s="123"/>
      <c r="O52" s="188"/>
    </row>
    <row r="53" spans="1:15" x14ac:dyDescent="0.25">
      <c r="A53" s="137">
        <v>10</v>
      </c>
      <c r="B53" s="213" t="e">
        <f>MQT!#REF!</f>
        <v>#REF!</v>
      </c>
      <c r="C53" s="138"/>
      <c r="D53" s="147"/>
      <c r="E53" s="148"/>
      <c r="F53" s="140" t="e">
        <f>('Lista de custos obra'!$G$49)*M53</f>
        <v>#REF!</v>
      </c>
      <c r="G53" s="215"/>
      <c r="H53" s="149" t="e">
        <f>MQT!#REF!</f>
        <v>#REF!</v>
      </c>
      <c r="I53" s="189"/>
      <c r="J53" s="176" t="e">
        <f>SUM(J54:J57)</f>
        <v>#REF!</v>
      </c>
      <c r="K53" s="300"/>
      <c r="L53" s="300"/>
      <c r="M53" s="141" t="e">
        <f>H53/$H$68</f>
        <v>#REF!</v>
      </c>
      <c r="N53" s="174">
        <f>$P$7*R4</f>
        <v>1.1499999999999999</v>
      </c>
      <c r="O53" s="188"/>
    </row>
    <row r="54" spans="1:15" x14ac:dyDescent="0.25">
      <c r="A54" s="31" t="s">
        <v>69</v>
      </c>
      <c r="B54" s="143" t="e">
        <f>MQT!#REF!</f>
        <v>#REF!</v>
      </c>
      <c r="C54" s="120"/>
      <c r="D54" s="32"/>
      <c r="E54" s="121"/>
      <c r="F54" s="122"/>
      <c r="G54" s="20" t="e">
        <f>MQT!#REF!</f>
        <v>#REF!</v>
      </c>
      <c r="H54" s="73" t="e">
        <f>MQT!#REF!</f>
        <v>#REF!</v>
      </c>
      <c r="I54" s="190"/>
      <c r="J54" s="175" t="e">
        <f t="shared" ref="J54:J56" si="16">H54-F54</f>
        <v>#REF!</v>
      </c>
      <c r="K54" s="301" t="e">
        <f>(H54/F54)-100%</f>
        <v>#REF!</v>
      </c>
      <c r="L54" s="301"/>
      <c r="M54" s="20"/>
      <c r="N54" s="123"/>
      <c r="O54" s="188"/>
    </row>
    <row r="55" spans="1:15" x14ac:dyDescent="0.25">
      <c r="A55" s="31" t="s">
        <v>70</v>
      </c>
      <c r="B55" s="143" t="e">
        <f>MQT!#REF!</f>
        <v>#REF!</v>
      </c>
      <c r="C55" s="120"/>
      <c r="D55" s="32"/>
      <c r="E55" s="121"/>
      <c r="F55" s="122"/>
      <c r="G55" s="20" t="e">
        <f>MQT!#REF!</f>
        <v>#REF!</v>
      </c>
      <c r="H55" s="73" t="e">
        <f>MQT!#REF!</f>
        <v>#REF!</v>
      </c>
      <c r="I55" s="190"/>
      <c r="J55" s="175" t="e">
        <f t="shared" si="16"/>
        <v>#REF!</v>
      </c>
      <c r="K55" s="301" t="e">
        <f t="shared" ref="K55:K57" si="17">(H55/F55)-100%</f>
        <v>#REF!</v>
      </c>
      <c r="L55" s="301"/>
      <c r="M55" s="20"/>
      <c r="N55" s="123"/>
      <c r="O55" s="188"/>
    </row>
    <row r="56" spans="1:15" x14ac:dyDescent="0.25">
      <c r="A56" s="31" t="s">
        <v>71</v>
      </c>
      <c r="B56" s="143" t="e">
        <f>MQT!#REF!</f>
        <v>#REF!</v>
      </c>
      <c r="C56" s="120"/>
      <c r="D56" s="32"/>
      <c r="E56" s="121"/>
      <c r="F56" s="122"/>
      <c r="G56" s="20" t="e">
        <f>MQT!#REF!</f>
        <v>#REF!</v>
      </c>
      <c r="H56" s="73" t="e">
        <f>MQT!#REF!</f>
        <v>#REF!</v>
      </c>
      <c r="I56" s="190"/>
      <c r="J56" s="175" t="e">
        <f t="shared" si="16"/>
        <v>#REF!</v>
      </c>
      <c r="K56" s="301" t="e">
        <f t="shared" si="17"/>
        <v>#REF!</v>
      </c>
      <c r="L56" s="301"/>
      <c r="M56" s="20"/>
      <c r="N56" s="123"/>
      <c r="O56" s="188"/>
    </row>
    <row r="57" spans="1:15" x14ac:dyDescent="0.25">
      <c r="A57" s="31" t="s">
        <v>72</v>
      </c>
      <c r="B57" s="143" t="e">
        <f>MQT!#REF!</f>
        <v>#REF!</v>
      </c>
      <c r="C57" s="120"/>
      <c r="D57" s="32"/>
      <c r="E57" s="121"/>
      <c r="F57" s="122"/>
      <c r="G57" s="20" t="e">
        <f>MQT!#REF!</f>
        <v>#REF!</v>
      </c>
      <c r="H57" s="73" t="e">
        <f>MQT!#REF!</f>
        <v>#REF!</v>
      </c>
      <c r="I57" s="190"/>
      <c r="J57" s="175" t="e">
        <f>H57-F57</f>
        <v>#REF!</v>
      </c>
      <c r="K57" s="301" t="e">
        <f t="shared" si="17"/>
        <v>#REF!</v>
      </c>
      <c r="L57" s="301"/>
      <c r="M57" s="20"/>
      <c r="N57" s="123"/>
      <c r="O57" s="188"/>
    </row>
    <row r="58" spans="1:15" ht="2.25" customHeight="1" x14ac:dyDescent="0.25">
      <c r="A58" s="31"/>
      <c r="B58" s="150"/>
      <c r="C58" s="120"/>
      <c r="D58" s="32"/>
      <c r="E58" s="121"/>
      <c r="F58" s="122"/>
      <c r="G58" s="20"/>
      <c r="H58" s="73"/>
      <c r="I58" s="190"/>
      <c r="J58" s="210"/>
      <c r="K58" s="210"/>
      <c r="L58" s="210"/>
      <c r="M58" s="210"/>
      <c r="N58" s="210"/>
      <c r="O58" s="188"/>
    </row>
    <row r="59" spans="1:15" ht="15.75" thickBot="1" x14ac:dyDescent="0.3">
      <c r="A59" s="31"/>
      <c r="B59" s="119"/>
      <c r="C59" s="120"/>
      <c r="D59" s="32"/>
      <c r="E59" s="121"/>
      <c r="F59" s="122"/>
      <c r="G59" s="20"/>
      <c r="H59" s="73"/>
      <c r="I59" s="73"/>
      <c r="J59" s="124"/>
      <c r="K59" s="125"/>
      <c r="L59" s="125"/>
      <c r="M59" s="208"/>
      <c r="N59" s="209"/>
      <c r="O59" s="20"/>
    </row>
    <row r="60" spans="1:15" ht="15.75" thickBot="1" x14ac:dyDescent="0.3">
      <c r="A60" s="177" t="s">
        <v>76</v>
      </c>
      <c r="B60" s="286"/>
      <c r="C60" s="286"/>
      <c r="D60" s="286"/>
      <c r="E60" s="286"/>
      <c r="F60" s="286"/>
      <c r="G60" s="286"/>
      <c r="H60" s="287"/>
      <c r="I60" s="33"/>
      <c r="J60" s="290" t="s">
        <v>285</v>
      </c>
      <c r="K60" s="291"/>
      <c r="L60" s="291"/>
      <c r="M60" s="291"/>
      <c r="N60" s="292"/>
      <c r="O60" s="20"/>
    </row>
    <row r="61" spans="1:15" ht="18.75" customHeight="1" x14ac:dyDescent="0.25">
      <c r="A61" s="178" t="s">
        <v>77</v>
      </c>
      <c r="B61" s="284" t="s">
        <v>83</v>
      </c>
      <c r="C61" s="284"/>
      <c r="D61" s="284"/>
      <c r="E61" s="284"/>
      <c r="F61" s="284"/>
      <c r="G61" s="284"/>
      <c r="H61" s="285"/>
      <c r="I61" s="76"/>
      <c r="J61" s="163" t="e">
        <f>H68</f>
        <v>#REF!</v>
      </c>
      <c r="K61" s="164" t="s">
        <v>154</v>
      </c>
      <c r="L61" s="165">
        <v>0.23</v>
      </c>
      <c r="M61" s="203" t="e">
        <f>J61*L61</f>
        <v>#REF!</v>
      </c>
      <c r="N61" s="166"/>
      <c r="O61" s="20"/>
    </row>
    <row r="62" spans="1:15" ht="18.75" customHeight="1" x14ac:dyDescent="0.25">
      <c r="A62" s="178" t="s">
        <v>78</v>
      </c>
      <c r="B62" s="284" t="s">
        <v>82</v>
      </c>
      <c r="C62" s="284"/>
      <c r="D62" s="284"/>
      <c r="E62" s="284"/>
      <c r="F62" s="284"/>
      <c r="G62" s="284"/>
      <c r="H62" s="285"/>
      <c r="I62" s="76"/>
      <c r="J62" s="118" t="e">
        <f>H68</f>
        <v>#REF!</v>
      </c>
      <c r="K62" s="80" t="s">
        <v>154</v>
      </c>
      <c r="L62" s="81">
        <v>0.06</v>
      </c>
      <c r="M62" s="169" t="e">
        <f>L62*J62</f>
        <v>#REF!</v>
      </c>
      <c r="N62" s="86"/>
      <c r="O62" s="20"/>
    </row>
    <row r="63" spans="1:15" ht="18.75" customHeight="1" thickBot="1" x14ac:dyDescent="0.3">
      <c r="A63" s="178" t="s">
        <v>79</v>
      </c>
      <c r="B63" s="284" t="s">
        <v>291</v>
      </c>
      <c r="C63" s="284"/>
      <c r="D63" s="284"/>
      <c r="E63" s="284"/>
      <c r="F63" s="284"/>
      <c r="G63" s="284"/>
      <c r="H63" s="285"/>
      <c r="I63" s="76"/>
      <c r="J63" s="293" t="s">
        <v>262</v>
      </c>
      <c r="K63" s="294"/>
      <c r="L63" s="294"/>
      <c r="M63" s="172" t="e">
        <f>M62+J62</f>
        <v>#REF!</v>
      </c>
      <c r="N63" s="39"/>
      <c r="O63" s="20"/>
    </row>
    <row r="64" spans="1:15" ht="18.75" customHeight="1" thickBot="1" x14ac:dyDescent="0.3">
      <c r="A64" s="178" t="s">
        <v>80</v>
      </c>
      <c r="B64" s="284" t="s">
        <v>290</v>
      </c>
      <c r="C64" s="284"/>
      <c r="D64" s="284"/>
      <c r="E64" s="284"/>
      <c r="F64" s="284"/>
      <c r="G64" s="284"/>
      <c r="H64" s="285"/>
      <c r="I64" s="76"/>
      <c r="J64" s="290" t="s">
        <v>264</v>
      </c>
      <c r="K64" s="291"/>
      <c r="L64" s="291"/>
      <c r="M64" s="291"/>
      <c r="N64" s="292"/>
      <c r="O64" s="20"/>
    </row>
    <row r="65" spans="1:15" ht="18.75" customHeight="1" thickBot="1" x14ac:dyDescent="0.3">
      <c r="A65" s="179" t="s">
        <v>81</v>
      </c>
      <c r="B65" s="303"/>
      <c r="C65" s="303"/>
      <c r="D65" s="303"/>
      <c r="E65" s="303"/>
      <c r="F65" s="303"/>
      <c r="G65" s="303"/>
      <c r="H65" s="304"/>
      <c r="I65" s="76"/>
      <c r="J65" s="204" t="s">
        <v>265</v>
      </c>
      <c r="K65" s="205">
        <v>0.3</v>
      </c>
      <c r="L65" s="206"/>
      <c r="M65" s="207" t="e">
        <f>K65*M63</f>
        <v>#REF!</v>
      </c>
      <c r="N65" s="40"/>
      <c r="O65" s="20"/>
    </row>
    <row r="66" spans="1:15" ht="18.75" customHeight="1" thickBot="1" x14ac:dyDescent="0.3">
      <c r="A66" s="151"/>
      <c r="B66" s="127"/>
      <c r="C66" s="127"/>
      <c r="D66" s="127"/>
      <c r="E66" s="127"/>
      <c r="F66" s="127"/>
      <c r="G66" s="127"/>
      <c r="H66" s="127"/>
      <c r="I66" s="76"/>
      <c r="J66" s="126" t="s">
        <v>266</v>
      </c>
      <c r="K66" s="170">
        <v>0.3</v>
      </c>
      <c r="L66" s="76"/>
      <c r="M66" s="168" t="e">
        <f>K66*M63</f>
        <v>#REF!</v>
      </c>
      <c r="N66" s="38"/>
      <c r="O66" s="20"/>
    </row>
    <row r="67" spans="1:15" ht="18.75" customHeight="1" thickBot="1" x14ac:dyDescent="0.3">
      <c r="A67" s="295"/>
      <c r="B67" s="296"/>
      <c r="C67" s="296"/>
      <c r="D67" s="296"/>
      <c r="E67" s="296"/>
      <c r="F67" s="152" t="s">
        <v>33</v>
      </c>
      <c r="G67" s="14"/>
      <c r="H67" s="153" t="s">
        <v>263</v>
      </c>
      <c r="I67" s="76"/>
      <c r="J67" s="167" t="s">
        <v>267</v>
      </c>
      <c r="K67" s="171">
        <v>0.4</v>
      </c>
      <c r="L67" s="77"/>
      <c r="M67" s="172" t="e">
        <f>K67*M63</f>
        <v>#REF!</v>
      </c>
      <c r="N67" s="39"/>
      <c r="O67" s="20"/>
    </row>
    <row r="68" spans="1:15" ht="17.25" customHeight="1" thickBot="1" x14ac:dyDescent="0.3">
      <c r="A68" s="297"/>
      <c r="B68" s="298"/>
      <c r="C68" s="298"/>
      <c r="D68" s="298"/>
      <c r="E68" s="298"/>
      <c r="F68" s="15" t="e">
        <f>F8+F13+F18+F23+F28+F33+F38+F43+F48+F53</f>
        <v>#REF!</v>
      </c>
      <c r="G68" s="16"/>
      <c r="H68" s="78" t="e">
        <f>SUM(H18,H13,H8,H23,H28,H33,H38,H43,H48,H53)</f>
        <v>#REF!</v>
      </c>
      <c r="I68" s="17"/>
      <c r="J68" s="17"/>
      <c r="K68" s="17"/>
      <c r="L68" s="17"/>
      <c r="M68" s="17"/>
      <c r="N68" s="22"/>
      <c r="O68" s="17"/>
    </row>
    <row r="69" spans="1:15" ht="17.25" customHeight="1" x14ac:dyDescent="0.25">
      <c r="I69" s="74"/>
      <c r="J69" s="154" t="s">
        <v>34</v>
      </c>
      <c r="K69" s="155"/>
      <c r="L69" s="156"/>
      <c r="M69" s="157"/>
      <c r="N69" s="158"/>
      <c r="O69" s="20"/>
    </row>
    <row r="70" spans="1:15" ht="21" customHeight="1" thickBot="1" x14ac:dyDescent="0.3">
      <c r="I70" s="75"/>
      <c r="J70" s="159" t="e">
        <f>SUM(J18,J13,J8,J23,J28,J33,J38,J43,J48,J53)</f>
        <v>#REF!</v>
      </c>
      <c r="K70" s="160"/>
      <c r="L70" s="160"/>
      <c r="M70" s="161"/>
      <c r="N70" s="162"/>
      <c r="O70" s="7"/>
    </row>
    <row r="71" spans="1:15" ht="21" customHeight="1" x14ac:dyDescent="0.25">
      <c r="A71" s="3"/>
      <c r="B71" s="4"/>
      <c r="C71" s="5"/>
      <c r="D71" s="3"/>
      <c r="E71" s="6"/>
      <c r="F71" s="6"/>
      <c r="G71" s="7"/>
      <c r="H71" s="7"/>
      <c r="I71" s="7"/>
      <c r="J71" s="7"/>
      <c r="K71" s="7"/>
      <c r="L71" s="7"/>
      <c r="M71" s="7"/>
      <c r="N71" s="21"/>
      <c r="O71" s="7"/>
    </row>
    <row r="72" spans="1:15" ht="21" customHeight="1" x14ac:dyDescent="0.25">
      <c r="A72" s="18"/>
      <c r="B72" s="19"/>
      <c r="C72" s="5"/>
      <c r="D72" s="3"/>
      <c r="E72" s="6"/>
      <c r="F72" s="6"/>
      <c r="G72" s="7"/>
      <c r="H72" s="7"/>
      <c r="I72" s="7"/>
      <c r="J72" s="7"/>
      <c r="K72" s="7"/>
      <c r="L72" s="7"/>
      <c r="M72" s="7"/>
      <c r="N72" s="21"/>
      <c r="O72" s="7"/>
    </row>
    <row r="73" spans="1:15" ht="21" customHeight="1" x14ac:dyDescent="0.25">
      <c r="A73" s="3"/>
      <c r="B73" s="19"/>
      <c r="C73" s="5"/>
      <c r="D73" s="3"/>
      <c r="E73" s="6"/>
      <c r="F73" s="6"/>
      <c r="G73" s="7"/>
      <c r="H73" s="7"/>
      <c r="I73" s="7"/>
      <c r="J73" s="7"/>
      <c r="K73" s="7"/>
      <c r="L73" s="7"/>
      <c r="M73" s="7"/>
      <c r="N73" s="21"/>
      <c r="O73" s="7"/>
    </row>
    <row r="74" spans="1:15" x14ac:dyDescent="0.25">
      <c r="A74" s="8"/>
      <c r="B74" s="19"/>
      <c r="E74" s="10"/>
    </row>
    <row r="75" spans="1:15" x14ac:dyDescent="0.25">
      <c r="A75" s="8"/>
      <c r="B75" s="12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37"/>
      <c r="O75" s="12"/>
    </row>
    <row r="76" spans="1:15" x14ac:dyDescent="0.25">
      <c r="B76" s="12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37"/>
      <c r="O76" s="12"/>
    </row>
    <row r="77" spans="1:15" x14ac:dyDescent="0.25">
      <c r="B77" s="12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37"/>
      <c r="O77" s="12"/>
    </row>
  </sheetData>
  <mergeCells count="64">
    <mergeCell ref="K9:L9"/>
    <mergeCell ref="J1:N1"/>
    <mergeCell ref="J2:N2"/>
    <mergeCell ref="J3:N4"/>
    <mergeCell ref="K7:L7"/>
    <mergeCell ref="K8:L8"/>
    <mergeCell ref="K21:L21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33:L33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45:L45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57:L57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B64:H64"/>
    <mergeCell ref="J64:N64"/>
    <mergeCell ref="B65:H65"/>
    <mergeCell ref="A67:E68"/>
    <mergeCell ref="B60:H60"/>
    <mergeCell ref="J60:N60"/>
    <mergeCell ref="B61:H61"/>
    <mergeCell ref="B62:H62"/>
    <mergeCell ref="B63:H63"/>
    <mergeCell ref="J63:L63"/>
  </mergeCells>
  <printOptions horizontalCentered="1"/>
  <pageMargins left="0.23622047244094491" right="0.23622047244094491" top="0.39370078740157483" bottom="0.70866141732283472" header="0.31496062992125984" footer="0.31496062992125984"/>
  <pageSetup paperSize="9" scale="76" fitToHeight="0" orientation="portrait" r:id="rId1"/>
  <headerFooter>
    <oddFooter>&amp;L&amp;12&amp;D&amp;C&amp;12&amp;P&amp;R&amp;G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4FAB-1D2F-4CD9-BA5E-6FEF5129F6DA}">
  <dimension ref="B2:I49"/>
  <sheetViews>
    <sheetView workbookViewId="0">
      <selection activeCell="F7" sqref="F7"/>
    </sheetView>
  </sheetViews>
  <sheetFormatPr defaultColWidth="8.85546875" defaultRowHeight="15" x14ac:dyDescent="0.25"/>
  <cols>
    <col min="1" max="1" width="8.85546875" style="113"/>
    <col min="2" max="2" width="23.28515625" style="113" customWidth="1"/>
    <col min="3" max="3" width="45.7109375" style="113" customWidth="1"/>
    <col min="4" max="4" width="8.85546875" style="113"/>
    <col min="5" max="6" width="14.5703125" style="113" customWidth="1"/>
    <col min="7" max="9" width="13.140625" style="113" customWidth="1"/>
    <col min="10" max="16384" width="8.85546875" style="113"/>
  </cols>
  <sheetData>
    <row r="2" spans="2:9" ht="15.75" thickBot="1" x14ac:dyDescent="0.3"/>
    <row r="3" spans="2:9" x14ac:dyDescent="0.25">
      <c r="B3" s="377" t="s">
        <v>0</v>
      </c>
      <c r="C3" s="379" t="s">
        <v>19</v>
      </c>
      <c r="D3" s="379" t="s">
        <v>14</v>
      </c>
      <c r="E3" s="379" t="s">
        <v>1</v>
      </c>
      <c r="F3" s="379"/>
      <c r="G3" s="381" t="s">
        <v>20</v>
      </c>
      <c r="H3" s="383" t="s">
        <v>201</v>
      </c>
      <c r="I3" s="374" t="s">
        <v>203</v>
      </c>
    </row>
    <row r="4" spans="2:9" x14ac:dyDescent="0.25">
      <c r="B4" s="378"/>
      <c r="C4" s="380"/>
      <c r="D4" s="380"/>
      <c r="E4" s="45" t="s">
        <v>104</v>
      </c>
      <c r="F4" s="45" t="s">
        <v>103</v>
      </c>
      <c r="G4" s="382"/>
      <c r="H4" s="384"/>
      <c r="I4" s="375"/>
    </row>
    <row r="5" spans="2:9" x14ac:dyDescent="0.25">
      <c r="B5" s="342" t="s">
        <v>199</v>
      </c>
      <c r="C5" s="48" t="s">
        <v>200</v>
      </c>
      <c r="D5" s="49" t="s">
        <v>92</v>
      </c>
      <c r="E5" s="49">
        <v>4</v>
      </c>
      <c r="F5" s="49">
        <v>1</v>
      </c>
      <c r="G5" s="50">
        <v>25</v>
      </c>
      <c r="H5" s="50">
        <f>G5*E5</f>
        <v>100</v>
      </c>
      <c r="I5" s="82">
        <f>G5*E5*1.6</f>
        <v>160</v>
      </c>
    </row>
    <row r="6" spans="2:9" x14ac:dyDescent="0.25">
      <c r="B6" s="342"/>
      <c r="C6" s="48" t="s">
        <v>157</v>
      </c>
      <c r="D6" s="49" t="s">
        <v>88</v>
      </c>
      <c r="E6" s="49">
        <v>1</v>
      </c>
      <c r="F6" s="49">
        <v>1</v>
      </c>
      <c r="G6" s="50">
        <v>20</v>
      </c>
      <c r="H6" s="50">
        <f>G6*E6</f>
        <v>20</v>
      </c>
      <c r="I6" s="82">
        <f>G6*E6*2</f>
        <v>40</v>
      </c>
    </row>
    <row r="7" spans="2:9" x14ac:dyDescent="0.25">
      <c r="B7" s="342"/>
      <c r="C7" s="48" t="s">
        <v>22</v>
      </c>
      <c r="D7" s="49"/>
      <c r="E7" s="49"/>
      <c r="F7" s="49"/>
      <c r="G7" s="50"/>
      <c r="H7" s="50"/>
      <c r="I7" s="82"/>
    </row>
    <row r="8" spans="2:9" x14ac:dyDescent="0.25">
      <c r="B8" s="342"/>
      <c r="C8" s="315" t="s">
        <v>25</v>
      </c>
      <c r="D8" s="315"/>
      <c r="E8" s="315"/>
      <c r="F8" s="315"/>
      <c r="G8" s="315"/>
      <c r="H8" s="95">
        <f>SUM(H5:H7)</f>
        <v>120</v>
      </c>
      <c r="I8" s="83">
        <f>SUM(I5:I7)</f>
        <v>200</v>
      </c>
    </row>
    <row r="9" spans="2:9" ht="15.75" thickBot="1" x14ac:dyDescent="0.3">
      <c r="B9" s="343"/>
      <c r="C9" s="376" t="s">
        <v>24</v>
      </c>
      <c r="D9" s="376"/>
      <c r="E9" s="376" t="s">
        <v>97</v>
      </c>
      <c r="F9" s="376"/>
      <c r="G9" s="84">
        <v>1</v>
      </c>
      <c r="H9" s="96">
        <f>ROUNDUP((H8/G9),0)</f>
        <v>120</v>
      </c>
      <c r="I9" s="117">
        <f>ROUNDUP((I8/G9),0)</f>
        <v>200</v>
      </c>
    </row>
    <row r="10" spans="2:9" ht="15.75" thickBot="1" x14ac:dyDescent="0.3">
      <c r="B10" s="114"/>
      <c r="C10" s="114"/>
      <c r="D10" s="114"/>
      <c r="E10" s="114"/>
      <c r="F10" s="114"/>
      <c r="G10" s="115"/>
      <c r="H10" s="115"/>
      <c r="I10" s="116"/>
    </row>
    <row r="11" spans="2:9" x14ac:dyDescent="0.25">
      <c r="B11" s="377" t="s">
        <v>0</v>
      </c>
      <c r="C11" s="379" t="s">
        <v>19</v>
      </c>
      <c r="D11" s="379" t="s">
        <v>14</v>
      </c>
      <c r="E11" s="379" t="s">
        <v>1</v>
      </c>
      <c r="F11" s="379"/>
      <c r="G11" s="381" t="s">
        <v>20</v>
      </c>
      <c r="H11" s="383" t="s">
        <v>201</v>
      </c>
      <c r="I11" s="374" t="s">
        <v>158</v>
      </c>
    </row>
    <row r="12" spans="2:9" x14ac:dyDescent="0.25">
      <c r="B12" s="378"/>
      <c r="C12" s="380"/>
      <c r="D12" s="380"/>
      <c r="E12" s="45" t="s">
        <v>104</v>
      </c>
      <c r="F12" s="45" t="s">
        <v>103</v>
      </c>
      <c r="G12" s="382"/>
      <c r="H12" s="384"/>
      <c r="I12" s="375"/>
    </row>
    <row r="13" spans="2:9" x14ac:dyDescent="0.25">
      <c r="B13" s="342" t="s">
        <v>202</v>
      </c>
      <c r="C13" s="48" t="s">
        <v>206</v>
      </c>
      <c r="D13" s="49" t="s">
        <v>92</v>
      </c>
      <c r="E13" s="49">
        <v>1</v>
      </c>
      <c r="F13" s="49">
        <v>1</v>
      </c>
      <c r="G13" s="50">
        <v>25</v>
      </c>
      <c r="H13" s="50">
        <f>G13*E13</f>
        <v>25</v>
      </c>
      <c r="I13" s="82">
        <f>G13*E13*1.3</f>
        <v>32.5</v>
      </c>
    </row>
    <row r="14" spans="2:9" x14ac:dyDescent="0.25">
      <c r="B14" s="342"/>
      <c r="C14" s="48" t="s">
        <v>101</v>
      </c>
      <c r="D14" s="49" t="s">
        <v>88</v>
      </c>
      <c r="E14" s="49">
        <v>1</v>
      </c>
      <c r="F14" s="49">
        <v>1</v>
      </c>
      <c r="G14" s="50">
        <v>5</v>
      </c>
      <c r="H14" s="50">
        <f>G14*E14</f>
        <v>5</v>
      </c>
      <c r="I14" s="82">
        <f>G14*E14*1.35</f>
        <v>6.75</v>
      </c>
    </row>
    <row r="15" spans="2:9" x14ac:dyDescent="0.25">
      <c r="B15" s="342"/>
      <c r="C15" s="48" t="s">
        <v>22</v>
      </c>
      <c r="D15" s="49"/>
      <c r="E15" s="49"/>
      <c r="F15" s="49"/>
      <c r="G15" s="50"/>
      <c r="H15" s="50"/>
      <c r="I15" s="82"/>
    </row>
    <row r="16" spans="2:9" x14ac:dyDescent="0.25">
      <c r="B16" s="342"/>
      <c r="C16" s="315" t="s">
        <v>25</v>
      </c>
      <c r="D16" s="315"/>
      <c r="E16" s="315"/>
      <c r="F16" s="315"/>
      <c r="G16" s="315"/>
      <c r="H16" s="95">
        <f>SUM(H13:H15)</f>
        <v>30</v>
      </c>
      <c r="I16" s="83">
        <f>SUM(I13:I15)</f>
        <v>39.25</v>
      </c>
    </row>
    <row r="17" spans="2:9" ht="15.75" thickBot="1" x14ac:dyDescent="0.3">
      <c r="B17" s="343"/>
      <c r="C17" s="376" t="s">
        <v>24</v>
      </c>
      <c r="D17" s="376"/>
      <c r="E17" s="376" t="s">
        <v>97</v>
      </c>
      <c r="F17" s="376"/>
      <c r="G17" s="84">
        <v>1</v>
      </c>
      <c r="H17" s="96">
        <f>ROUNDUP((H16/G17),0)</f>
        <v>30</v>
      </c>
      <c r="I17" s="117">
        <f>ROUNDUP((I16/G17),0)</f>
        <v>40</v>
      </c>
    </row>
    <row r="18" spans="2:9" ht="15.75" thickBot="1" x14ac:dyDescent="0.3">
      <c r="B18" s="114"/>
      <c r="C18" s="114"/>
      <c r="D18" s="114"/>
      <c r="E18" s="114"/>
      <c r="F18" s="114"/>
      <c r="G18" s="115"/>
      <c r="H18" s="115"/>
      <c r="I18" s="116"/>
    </row>
    <row r="19" spans="2:9" x14ac:dyDescent="0.25">
      <c r="B19" s="377" t="s">
        <v>0</v>
      </c>
      <c r="C19" s="379" t="s">
        <v>19</v>
      </c>
      <c r="D19" s="379" t="s">
        <v>14</v>
      </c>
      <c r="E19" s="379" t="s">
        <v>1</v>
      </c>
      <c r="F19" s="379"/>
      <c r="G19" s="381" t="s">
        <v>20</v>
      </c>
      <c r="H19" s="383" t="s">
        <v>201</v>
      </c>
      <c r="I19" s="374" t="s">
        <v>158</v>
      </c>
    </row>
    <row r="20" spans="2:9" x14ac:dyDescent="0.25">
      <c r="B20" s="378"/>
      <c r="C20" s="380"/>
      <c r="D20" s="380"/>
      <c r="E20" s="45" t="s">
        <v>104</v>
      </c>
      <c r="F20" s="45" t="s">
        <v>103</v>
      </c>
      <c r="G20" s="382"/>
      <c r="H20" s="384"/>
      <c r="I20" s="375"/>
    </row>
    <row r="21" spans="2:9" x14ac:dyDescent="0.25">
      <c r="B21" s="342" t="s">
        <v>205</v>
      </c>
      <c r="C21" s="48" t="s">
        <v>206</v>
      </c>
      <c r="D21" s="49" t="s">
        <v>92</v>
      </c>
      <c r="E21" s="49">
        <v>1</v>
      </c>
      <c r="F21" s="49">
        <v>1</v>
      </c>
      <c r="G21" s="50">
        <v>25</v>
      </c>
      <c r="H21" s="50">
        <f>G21*E21</f>
        <v>25</v>
      </c>
      <c r="I21" s="82">
        <f>G21*E21*1.3</f>
        <v>32.5</v>
      </c>
    </row>
    <row r="22" spans="2:9" x14ac:dyDescent="0.25">
      <c r="B22" s="342"/>
      <c r="C22" s="48" t="s">
        <v>101</v>
      </c>
      <c r="D22" s="49" t="s">
        <v>88</v>
      </c>
      <c r="E22" s="49">
        <v>1</v>
      </c>
      <c r="F22" s="49">
        <v>1</v>
      </c>
      <c r="G22" s="50">
        <v>5</v>
      </c>
      <c r="H22" s="50">
        <f>G22*E22</f>
        <v>5</v>
      </c>
      <c r="I22" s="82">
        <f>G22*E22*1.35</f>
        <v>6.75</v>
      </c>
    </row>
    <row r="23" spans="2:9" x14ac:dyDescent="0.25">
      <c r="B23" s="342"/>
      <c r="C23" s="48" t="s">
        <v>22</v>
      </c>
      <c r="D23" s="49"/>
      <c r="E23" s="49"/>
      <c r="F23" s="49"/>
      <c r="G23" s="50"/>
      <c r="H23" s="50"/>
      <c r="I23" s="82"/>
    </row>
    <row r="24" spans="2:9" x14ac:dyDescent="0.25">
      <c r="B24" s="342"/>
      <c r="C24" s="315" t="s">
        <v>25</v>
      </c>
      <c r="D24" s="315"/>
      <c r="E24" s="315"/>
      <c r="F24" s="315"/>
      <c r="G24" s="315"/>
      <c r="H24" s="95">
        <f>SUM(H21:H23)</f>
        <v>30</v>
      </c>
      <c r="I24" s="83">
        <f>SUM(I21:I23)</f>
        <v>39.25</v>
      </c>
    </row>
    <row r="25" spans="2:9" ht="15.75" thickBot="1" x14ac:dyDescent="0.3">
      <c r="B25" s="343"/>
      <c r="C25" s="376" t="s">
        <v>24</v>
      </c>
      <c r="D25" s="376"/>
      <c r="E25" s="376" t="s">
        <v>97</v>
      </c>
      <c r="F25" s="376"/>
      <c r="G25" s="84">
        <v>1</v>
      </c>
      <c r="H25" s="96">
        <f>ROUNDUP((H24/G25),0)</f>
        <v>30</v>
      </c>
      <c r="I25" s="117">
        <f>ROUNDUP((I24/G25),0)</f>
        <v>40</v>
      </c>
    </row>
    <row r="26" spans="2:9" ht="15.75" thickBot="1" x14ac:dyDescent="0.3">
      <c r="B26" s="114"/>
      <c r="C26" s="114"/>
      <c r="D26" s="114"/>
      <c r="E26" s="114"/>
      <c r="F26" s="114"/>
      <c r="G26" s="115"/>
      <c r="H26" s="115"/>
      <c r="I26" s="116"/>
    </row>
    <row r="27" spans="2:9" x14ac:dyDescent="0.25">
      <c r="B27" s="377" t="s">
        <v>0</v>
      </c>
      <c r="C27" s="379" t="s">
        <v>19</v>
      </c>
      <c r="D27" s="379" t="s">
        <v>14</v>
      </c>
      <c r="E27" s="379" t="s">
        <v>1</v>
      </c>
      <c r="F27" s="379"/>
      <c r="G27" s="381" t="s">
        <v>20</v>
      </c>
      <c r="H27" s="383" t="s">
        <v>201</v>
      </c>
      <c r="I27" s="374" t="s">
        <v>158</v>
      </c>
    </row>
    <row r="28" spans="2:9" x14ac:dyDescent="0.25">
      <c r="B28" s="378"/>
      <c r="C28" s="380"/>
      <c r="D28" s="380"/>
      <c r="E28" s="45" t="s">
        <v>104</v>
      </c>
      <c r="F28" s="45" t="s">
        <v>103</v>
      </c>
      <c r="G28" s="382"/>
      <c r="H28" s="384"/>
      <c r="I28" s="375"/>
    </row>
    <row r="29" spans="2:9" x14ac:dyDescent="0.25">
      <c r="B29" s="342" t="s">
        <v>207</v>
      </c>
      <c r="C29" s="48" t="s">
        <v>206</v>
      </c>
      <c r="D29" s="49" t="s">
        <v>92</v>
      </c>
      <c r="E29" s="49">
        <v>1</v>
      </c>
      <c r="F29" s="49">
        <v>1</v>
      </c>
      <c r="G29" s="50">
        <v>25</v>
      </c>
      <c r="H29" s="50">
        <f>G29*E29</f>
        <v>25</v>
      </c>
      <c r="I29" s="82">
        <f>G29*E29*1.3</f>
        <v>32.5</v>
      </c>
    </row>
    <row r="30" spans="2:9" x14ac:dyDescent="0.25">
      <c r="B30" s="342"/>
      <c r="C30" s="48" t="s">
        <v>101</v>
      </c>
      <c r="D30" s="49" t="s">
        <v>88</v>
      </c>
      <c r="E30" s="49">
        <v>1</v>
      </c>
      <c r="F30" s="49">
        <v>1</v>
      </c>
      <c r="G30" s="50">
        <v>5</v>
      </c>
      <c r="H30" s="50">
        <f>G30*E30</f>
        <v>5</v>
      </c>
      <c r="I30" s="82">
        <f>G30*E30*1.35</f>
        <v>6.75</v>
      </c>
    </row>
    <row r="31" spans="2:9" x14ac:dyDescent="0.25">
      <c r="B31" s="342"/>
      <c r="C31" s="48" t="s">
        <v>22</v>
      </c>
      <c r="D31" s="49"/>
      <c r="E31" s="49"/>
      <c r="F31" s="49"/>
      <c r="G31" s="50"/>
      <c r="H31" s="50"/>
      <c r="I31" s="82"/>
    </row>
    <row r="32" spans="2:9" x14ac:dyDescent="0.25">
      <c r="B32" s="342"/>
      <c r="C32" s="315" t="s">
        <v>25</v>
      </c>
      <c r="D32" s="315"/>
      <c r="E32" s="315"/>
      <c r="F32" s="315"/>
      <c r="G32" s="315"/>
      <c r="H32" s="95">
        <f>SUM(H29:H31)</f>
        <v>30</v>
      </c>
      <c r="I32" s="83">
        <f>SUM(I29:I31)</f>
        <v>39.25</v>
      </c>
    </row>
    <row r="33" spans="2:9" ht="15.75" thickBot="1" x14ac:dyDescent="0.3">
      <c r="B33" s="343"/>
      <c r="C33" s="376" t="s">
        <v>24</v>
      </c>
      <c r="D33" s="376"/>
      <c r="E33" s="376" t="s">
        <v>97</v>
      </c>
      <c r="F33" s="376"/>
      <c r="G33" s="84">
        <v>1</v>
      </c>
      <c r="H33" s="96">
        <f>ROUNDUP((H32/G33),0)</f>
        <v>30</v>
      </c>
      <c r="I33" s="117">
        <f>ROUNDUP((I32/G33),0)</f>
        <v>40</v>
      </c>
    </row>
    <row r="34" spans="2:9" ht="15.75" thickBot="1" x14ac:dyDescent="0.3">
      <c r="B34" s="114"/>
      <c r="C34" s="114"/>
      <c r="D34" s="114"/>
      <c r="E34" s="114"/>
      <c r="F34" s="114"/>
      <c r="G34" s="115"/>
      <c r="H34" s="115"/>
      <c r="I34" s="116"/>
    </row>
    <row r="35" spans="2:9" x14ac:dyDescent="0.25">
      <c r="B35" s="377" t="s">
        <v>0</v>
      </c>
      <c r="C35" s="379" t="s">
        <v>19</v>
      </c>
      <c r="D35" s="379" t="s">
        <v>14</v>
      </c>
      <c r="E35" s="379" t="s">
        <v>1</v>
      </c>
      <c r="F35" s="379"/>
      <c r="G35" s="381" t="s">
        <v>20</v>
      </c>
      <c r="H35" s="383" t="s">
        <v>201</v>
      </c>
      <c r="I35" s="374" t="s">
        <v>158</v>
      </c>
    </row>
    <row r="36" spans="2:9" x14ac:dyDescent="0.25">
      <c r="B36" s="378"/>
      <c r="C36" s="380"/>
      <c r="D36" s="380"/>
      <c r="E36" s="45" t="s">
        <v>104</v>
      </c>
      <c r="F36" s="45" t="s">
        <v>103</v>
      </c>
      <c r="G36" s="382"/>
      <c r="H36" s="384"/>
      <c r="I36" s="375"/>
    </row>
    <row r="37" spans="2:9" x14ac:dyDescent="0.25">
      <c r="B37" s="342" t="s">
        <v>208</v>
      </c>
      <c r="C37" s="48" t="s">
        <v>206</v>
      </c>
      <c r="D37" s="49" t="s">
        <v>92</v>
      </c>
      <c r="E37" s="49">
        <v>1</v>
      </c>
      <c r="F37" s="49">
        <v>1</v>
      </c>
      <c r="G37" s="50">
        <v>25</v>
      </c>
      <c r="H37" s="50">
        <f>G37*E37</f>
        <v>25</v>
      </c>
      <c r="I37" s="82">
        <f>G37*E37*1.3</f>
        <v>32.5</v>
      </c>
    </row>
    <row r="38" spans="2:9" x14ac:dyDescent="0.25">
      <c r="B38" s="342"/>
      <c r="C38" s="48" t="s">
        <v>101</v>
      </c>
      <c r="D38" s="49" t="s">
        <v>88</v>
      </c>
      <c r="E38" s="49">
        <v>1</v>
      </c>
      <c r="F38" s="49">
        <v>1</v>
      </c>
      <c r="G38" s="50">
        <v>5</v>
      </c>
      <c r="H38" s="50">
        <f>G38*E38</f>
        <v>5</v>
      </c>
      <c r="I38" s="82">
        <f>G38*E38*1.35</f>
        <v>6.75</v>
      </c>
    </row>
    <row r="39" spans="2:9" x14ac:dyDescent="0.25">
      <c r="B39" s="342"/>
      <c r="C39" s="48" t="s">
        <v>22</v>
      </c>
      <c r="D39" s="49"/>
      <c r="E39" s="49"/>
      <c r="F39" s="49"/>
      <c r="G39" s="50"/>
      <c r="H39" s="50"/>
      <c r="I39" s="82"/>
    </row>
    <row r="40" spans="2:9" x14ac:dyDescent="0.25">
      <c r="B40" s="342"/>
      <c r="C40" s="315" t="s">
        <v>25</v>
      </c>
      <c r="D40" s="315"/>
      <c r="E40" s="315"/>
      <c r="F40" s="315"/>
      <c r="G40" s="315"/>
      <c r="H40" s="95">
        <f>SUM(H37:H39)</f>
        <v>30</v>
      </c>
      <c r="I40" s="83">
        <f>SUM(I37:I39)</f>
        <v>39.25</v>
      </c>
    </row>
    <row r="41" spans="2:9" ht="15.75" thickBot="1" x14ac:dyDescent="0.3">
      <c r="B41" s="343"/>
      <c r="C41" s="376" t="s">
        <v>24</v>
      </c>
      <c r="D41" s="376"/>
      <c r="E41" s="376" t="s">
        <v>97</v>
      </c>
      <c r="F41" s="376"/>
      <c r="G41" s="84">
        <v>1</v>
      </c>
      <c r="H41" s="96">
        <f>ROUNDUP((H40/G41),0)</f>
        <v>30</v>
      </c>
      <c r="I41" s="117">
        <f>ROUNDUP((I40/G41),0)</f>
        <v>40</v>
      </c>
    </row>
    <row r="42" spans="2:9" ht="15.75" thickBot="1" x14ac:dyDescent="0.3"/>
    <row r="43" spans="2:9" x14ac:dyDescent="0.25">
      <c r="B43" s="377" t="s">
        <v>0</v>
      </c>
      <c r="C43" s="379" t="s">
        <v>19</v>
      </c>
      <c r="D43" s="379" t="s">
        <v>14</v>
      </c>
      <c r="E43" s="379" t="s">
        <v>1</v>
      </c>
      <c r="F43" s="379"/>
      <c r="G43" s="381" t="s">
        <v>20</v>
      </c>
      <c r="H43" s="383" t="s">
        <v>201</v>
      </c>
      <c r="I43" s="374" t="s">
        <v>158</v>
      </c>
    </row>
    <row r="44" spans="2:9" x14ac:dyDescent="0.25">
      <c r="B44" s="378"/>
      <c r="C44" s="380"/>
      <c r="D44" s="380"/>
      <c r="E44" s="45" t="s">
        <v>104</v>
      </c>
      <c r="F44" s="45" t="s">
        <v>103</v>
      </c>
      <c r="G44" s="382"/>
      <c r="H44" s="384"/>
      <c r="I44" s="375"/>
    </row>
    <row r="45" spans="2:9" x14ac:dyDescent="0.25">
      <c r="B45" s="342" t="s">
        <v>226</v>
      </c>
      <c r="C45" s="48" t="s">
        <v>226</v>
      </c>
      <c r="D45" s="49" t="s">
        <v>88</v>
      </c>
      <c r="E45" s="49">
        <v>1</v>
      </c>
      <c r="F45" s="49">
        <v>1</v>
      </c>
      <c r="G45" s="50">
        <v>25.015000000000001</v>
      </c>
      <c r="H45" s="50">
        <f>G45*E45</f>
        <v>25.015000000000001</v>
      </c>
      <c r="I45" s="82">
        <f>G45*E45*1.58</f>
        <v>39.523700000000005</v>
      </c>
    </row>
    <row r="46" spans="2:9" x14ac:dyDescent="0.25">
      <c r="B46" s="342"/>
      <c r="C46" s="48" t="s">
        <v>259</v>
      </c>
      <c r="D46" s="49" t="s">
        <v>260</v>
      </c>
      <c r="E46" s="49">
        <v>1</v>
      </c>
      <c r="F46" s="49">
        <v>1</v>
      </c>
      <c r="G46" s="50">
        <v>0.4</v>
      </c>
      <c r="H46" s="50">
        <f>G46*E46</f>
        <v>0.4</v>
      </c>
      <c r="I46" s="82" t="s">
        <v>261</v>
      </c>
    </row>
    <row r="47" spans="2:9" x14ac:dyDescent="0.25">
      <c r="B47" s="342"/>
      <c r="C47" s="48" t="s">
        <v>22</v>
      </c>
      <c r="D47" s="49"/>
      <c r="E47" s="49"/>
      <c r="F47" s="49"/>
      <c r="G47" s="50"/>
      <c r="H47" s="50"/>
      <c r="I47" s="82"/>
    </row>
    <row r="48" spans="2:9" x14ac:dyDescent="0.25">
      <c r="B48" s="342"/>
      <c r="C48" s="315" t="s">
        <v>25</v>
      </c>
      <c r="D48" s="315"/>
      <c r="E48" s="315"/>
      <c r="F48" s="315"/>
      <c r="G48" s="315"/>
      <c r="H48" s="95">
        <f>SUM(H45)</f>
        <v>25.015000000000001</v>
      </c>
      <c r="I48" s="83">
        <f>SUM(I45)</f>
        <v>39.523700000000005</v>
      </c>
    </row>
    <row r="49" spans="2:9" ht="15.75" thickBot="1" x14ac:dyDescent="0.3">
      <c r="B49" s="343"/>
      <c r="C49" s="376" t="s">
        <v>24</v>
      </c>
      <c r="D49" s="376"/>
      <c r="E49" s="376" t="s">
        <v>97</v>
      </c>
      <c r="F49" s="376"/>
      <c r="G49" s="84">
        <v>1</v>
      </c>
      <c r="H49" s="96">
        <f>ROUNDUP((H48/G49),0)</f>
        <v>26</v>
      </c>
      <c r="I49" s="117">
        <f>ROUNDUP((I48/G49),0)</f>
        <v>40</v>
      </c>
    </row>
  </sheetData>
  <mergeCells count="66">
    <mergeCell ref="I43:I44"/>
    <mergeCell ref="B45:B49"/>
    <mergeCell ref="C48:G48"/>
    <mergeCell ref="C49:D49"/>
    <mergeCell ref="E49:F49"/>
    <mergeCell ref="B43:B44"/>
    <mergeCell ref="C43:C44"/>
    <mergeCell ref="D43:D44"/>
    <mergeCell ref="E43:F43"/>
    <mergeCell ref="G43:G44"/>
    <mergeCell ref="H43:H44"/>
    <mergeCell ref="I35:I36"/>
    <mergeCell ref="B37:B41"/>
    <mergeCell ref="C40:G40"/>
    <mergeCell ref="C41:D41"/>
    <mergeCell ref="E41:F41"/>
    <mergeCell ref="B35:B36"/>
    <mergeCell ref="C35:C36"/>
    <mergeCell ref="D35:D36"/>
    <mergeCell ref="E35:F35"/>
    <mergeCell ref="G35:G36"/>
    <mergeCell ref="H35:H36"/>
    <mergeCell ref="H27:H28"/>
    <mergeCell ref="I27:I28"/>
    <mergeCell ref="B29:B33"/>
    <mergeCell ref="C32:G32"/>
    <mergeCell ref="C33:D33"/>
    <mergeCell ref="E33:F33"/>
    <mergeCell ref="B27:B28"/>
    <mergeCell ref="C27:C28"/>
    <mergeCell ref="D27:D28"/>
    <mergeCell ref="E27:F27"/>
    <mergeCell ref="G27:G28"/>
    <mergeCell ref="I19:I20"/>
    <mergeCell ref="B21:B25"/>
    <mergeCell ref="C24:G24"/>
    <mergeCell ref="C25:D25"/>
    <mergeCell ref="E25:F25"/>
    <mergeCell ref="B19:B20"/>
    <mergeCell ref="C19:C20"/>
    <mergeCell ref="D19:D20"/>
    <mergeCell ref="E19:F19"/>
    <mergeCell ref="G19:G20"/>
    <mergeCell ref="H19:H20"/>
    <mergeCell ref="H11:H12"/>
    <mergeCell ref="I11:I12"/>
    <mergeCell ref="B13:B17"/>
    <mergeCell ref="C16:G16"/>
    <mergeCell ref="C17:D17"/>
    <mergeCell ref="E17:F17"/>
    <mergeCell ref="B11:B12"/>
    <mergeCell ref="C11:C12"/>
    <mergeCell ref="D11:D12"/>
    <mergeCell ref="E11:F11"/>
    <mergeCell ref="G11:G12"/>
    <mergeCell ref="I3:I4"/>
    <mergeCell ref="B5:B9"/>
    <mergeCell ref="C8:G8"/>
    <mergeCell ref="C9:D9"/>
    <mergeCell ref="E9:F9"/>
    <mergeCell ref="B3:B4"/>
    <mergeCell ref="C3:C4"/>
    <mergeCell ref="D3:D4"/>
    <mergeCell ref="E3:F3"/>
    <mergeCell ref="G3:G4"/>
    <mergeCell ref="H3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0A57-D0E3-4718-A90A-EC84E9B07B98}">
  <dimension ref="B1:O118"/>
  <sheetViews>
    <sheetView zoomScaleNormal="100" workbookViewId="0">
      <selection activeCell="C30" sqref="C30:F30"/>
    </sheetView>
  </sheetViews>
  <sheetFormatPr defaultColWidth="9.140625" defaultRowHeight="15" x14ac:dyDescent="0.25"/>
  <cols>
    <col min="1" max="1" width="9.140625" style="44"/>
    <col min="2" max="2" width="45.5703125" style="41" customWidth="1"/>
    <col min="3" max="3" width="52" style="41" customWidth="1"/>
    <col min="4" max="4" width="9.140625" style="41"/>
    <col min="5" max="5" width="11.7109375" style="41" customWidth="1"/>
    <col min="6" max="7" width="13.42578125" style="42" bestFit="1" customWidth="1"/>
    <col min="8" max="11" width="13.42578125" style="42" customWidth="1"/>
    <col min="12" max="12" width="9.140625" style="44"/>
    <col min="13" max="13" width="13.28515625" style="44" customWidth="1"/>
    <col min="14" max="14" width="9.140625" style="44"/>
    <col min="15" max="15" width="12.7109375" style="44" customWidth="1"/>
    <col min="16" max="16384" width="9.140625" style="44"/>
  </cols>
  <sheetData>
    <row r="1" spans="2:15" ht="15.75" thickBot="1" x14ac:dyDescent="0.3"/>
    <row r="2" spans="2:15" ht="15" customHeight="1" x14ac:dyDescent="0.25">
      <c r="B2" s="431" t="s">
        <v>0</v>
      </c>
      <c r="C2" s="399" t="s">
        <v>19</v>
      </c>
      <c r="D2" s="399" t="s">
        <v>14</v>
      </c>
      <c r="E2" s="399" t="s">
        <v>1</v>
      </c>
      <c r="F2" s="417" t="s">
        <v>20</v>
      </c>
      <c r="G2" s="419" t="s">
        <v>21</v>
      </c>
      <c r="H2" s="401" t="s">
        <v>234</v>
      </c>
      <c r="I2" s="403" t="s">
        <v>232</v>
      </c>
      <c r="J2" s="406" t="s">
        <v>233</v>
      </c>
      <c r="K2" s="409" t="s">
        <v>204</v>
      </c>
      <c r="L2" s="100"/>
      <c r="M2" s="411" t="s">
        <v>31</v>
      </c>
      <c r="N2" s="413" t="s">
        <v>32</v>
      </c>
      <c r="O2" s="414"/>
    </row>
    <row r="3" spans="2:15" x14ac:dyDescent="0.25">
      <c r="B3" s="432"/>
      <c r="C3" s="400"/>
      <c r="D3" s="400"/>
      <c r="E3" s="400"/>
      <c r="F3" s="418"/>
      <c r="G3" s="420"/>
      <c r="H3" s="402"/>
      <c r="I3" s="404"/>
      <c r="J3" s="407"/>
      <c r="K3" s="410"/>
      <c r="L3" s="100"/>
      <c r="M3" s="412"/>
      <c r="N3" s="415"/>
      <c r="O3" s="416"/>
    </row>
    <row r="4" spans="2:15" x14ac:dyDescent="0.25">
      <c r="B4" s="429" t="s">
        <v>225</v>
      </c>
      <c r="C4" s="422" t="s">
        <v>231</v>
      </c>
      <c r="D4" s="423"/>
      <c r="E4" s="423"/>
      <c r="F4" s="423"/>
      <c r="G4" s="111">
        <f>SUM(G5:G12)</f>
        <v>0</v>
      </c>
      <c r="H4" s="402"/>
      <c r="I4" s="405"/>
      <c r="J4" s="408"/>
      <c r="K4" s="410"/>
      <c r="L4" s="100"/>
      <c r="M4" s="412"/>
      <c r="N4" s="415"/>
      <c r="O4" s="416"/>
    </row>
    <row r="5" spans="2:15" x14ac:dyDescent="0.25">
      <c r="B5" s="429"/>
      <c r="C5" s="101" t="s">
        <v>220</v>
      </c>
      <c r="D5" s="102" t="s">
        <v>88</v>
      </c>
      <c r="E5" s="102"/>
      <c r="F5" s="97">
        <v>50</v>
      </c>
      <c r="G5" s="103">
        <f t="shared" ref="G5:G12" si="0">F5*E5</f>
        <v>0</v>
      </c>
      <c r="H5" s="427">
        <v>1.45</v>
      </c>
      <c r="I5" s="97">
        <f>F5*$H$5</f>
        <v>72.5</v>
      </c>
      <c r="J5" s="97">
        <f t="shared" ref="J5:J12" si="1">I5*E5</f>
        <v>0</v>
      </c>
      <c r="K5" s="106">
        <f>J5*1.23</f>
        <v>0</v>
      </c>
      <c r="L5" s="100"/>
      <c r="M5" s="105">
        <f>J5-G5</f>
        <v>0</v>
      </c>
      <c r="N5" s="385" t="e">
        <f>(J5/G5)-100%</f>
        <v>#DIV/0!</v>
      </c>
      <c r="O5" s="386"/>
    </row>
    <row r="6" spans="2:15" x14ac:dyDescent="0.25">
      <c r="B6" s="429"/>
      <c r="C6" s="101" t="s">
        <v>209</v>
      </c>
      <c r="D6" s="102" t="s">
        <v>151</v>
      </c>
      <c r="E6" s="102"/>
      <c r="F6" s="97">
        <v>15</v>
      </c>
      <c r="G6" s="103">
        <f t="shared" si="0"/>
        <v>0</v>
      </c>
      <c r="H6" s="427"/>
      <c r="I6" s="97">
        <f t="shared" ref="I6:I24" si="2">F6*$H$5</f>
        <v>21.75</v>
      </c>
      <c r="J6" s="97">
        <f t="shared" si="1"/>
        <v>0</v>
      </c>
      <c r="K6" s="106">
        <f t="shared" ref="K6:K24" si="3">J6*1.23</f>
        <v>0</v>
      </c>
      <c r="L6" s="100"/>
      <c r="M6" s="105">
        <f t="shared" ref="M6:M24" si="4">J6-G6</f>
        <v>0</v>
      </c>
      <c r="N6" s="385" t="e">
        <f t="shared" ref="N6:N24" si="5">(J6/G6)-100%</f>
        <v>#DIV/0!</v>
      </c>
      <c r="O6" s="386"/>
    </row>
    <row r="7" spans="2:15" x14ac:dyDescent="0.25">
      <c r="B7" s="429"/>
      <c r="C7" s="101" t="s">
        <v>210</v>
      </c>
      <c r="D7" s="102" t="s">
        <v>198</v>
      </c>
      <c r="E7" s="102"/>
      <c r="F7" s="97">
        <v>28.5</v>
      </c>
      <c r="G7" s="103">
        <f t="shared" si="0"/>
        <v>0</v>
      </c>
      <c r="H7" s="427"/>
      <c r="I7" s="97">
        <f t="shared" si="2"/>
        <v>41.324999999999996</v>
      </c>
      <c r="J7" s="97">
        <f t="shared" si="1"/>
        <v>0</v>
      </c>
      <c r="K7" s="106">
        <f t="shared" si="3"/>
        <v>0</v>
      </c>
      <c r="L7" s="100"/>
      <c r="M7" s="105">
        <f t="shared" si="4"/>
        <v>0</v>
      </c>
      <c r="N7" s="385" t="e">
        <f t="shared" si="5"/>
        <v>#DIV/0!</v>
      </c>
      <c r="O7" s="386"/>
    </row>
    <row r="8" spans="2:15" x14ac:dyDescent="0.25">
      <c r="B8" s="429"/>
      <c r="C8" s="101" t="s">
        <v>224</v>
      </c>
      <c r="D8" s="102" t="s">
        <v>198</v>
      </c>
      <c r="E8" s="102"/>
      <c r="F8" s="97">
        <v>38</v>
      </c>
      <c r="G8" s="103">
        <f t="shared" si="0"/>
        <v>0</v>
      </c>
      <c r="H8" s="427"/>
      <c r="I8" s="97">
        <f t="shared" si="2"/>
        <v>55.1</v>
      </c>
      <c r="J8" s="97">
        <f t="shared" si="1"/>
        <v>0</v>
      </c>
      <c r="K8" s="106">
        <f t="shared" si="3"/>
        <v>0</v>
      </c>
      <c r="L8" s="100"/>
      <c r="M8" s="105">
        <f t="shared" si="4"/>
        <v>0</v>
      </c>
      <c r="N8" s="385" t="e">
        <f t="shared" si="5"/>
        <v>#DIV/0!</v>
      </c>
      <c r="O8" s="386"/>
    </row>
    <row r="9" spans="2:15" x14ac:dyDescent="0.25">
      <c r="B9" s="429"/>
      <c r="C9" s="101" t="s">
        <v>211</v>
      </c>
      <c r="D9" s="102" t="s">
        <v>92</v>
      </c>
      <c r="E9" s="102"/>
      <c r="F9" s="97">
        <v>17</v>
      </c>
      <c r="G9" s="103">
        <f t="shared" si="0"/>
        <v>0</v>
      </c>
      <c r="H9" s="427"/>
      <c r="I9" s="97">
        <f t="shared" si="2"/>
        <v>24.65</v>
      </c>
      <c r="J9" s="97">
        <f t="shared" si="1"/>
        <v>0</v>
      </c>
      <c r="K9" s="106">
        <f t="shared" si="3"/>
        <v>0</v>
      </c>
      <c r="L9" s="100"/>
      <c r="M9" s="105">
        <f t="shared" si="4"/>
        <v>0</v>
      </c>
      <c r="N9" s="385" t="e">
        <f t="shared" si="5"/>
        <v>#DIV/0!</v>
      </c>
      <c r="O9" s="386"/>
    </row>
    <row r="10" spans="2:15" x14ac:dyDescent="0.25">
      <c r="B10" s="429"/>
      <c r="C10" s="101" t="s">
        <v>228</v>
      </c>
      <c r="D10" s="102" t="s">
        <v>92</v>
      </c>
      <c r="E10" s="102"/>
      <c r="F10" s="97">
        <v>12</v>
      </c>
      <c r="G10" s="103">
        <f t="shared" si="0"/>
        <v>0</v>
      </c>
      <c r="H10" s="427"/>
      <c r="I10" s="97">
        <f t="shared" si="2"/>
        <v>17.399999999999999</v>
      </c>
      <c r="J10" s="97">
        <f t="shared" si="1"/>
        <v>0</v>
      </c>
      <c r="K10" s="106">
        <f t="shared" si="3"/>
        <v>0</v>
      </c>
      <c r="L10" s="100"/>
      <c r="M10" s="105">
        <f t="shared" si="4"/>
        <v>0</v>
      </c>
      <c r="N10" s="385" t="e">
        <f t="shared" si="5"/>
        <v>#DIV/0!</v>
      </c>
      <c r="O10" s="386"/>
    </row>
    <row r="11" spans="2:15" x14ac:dyDescent="0.25">
      <c r="B11" s="429"/>
      <c r="C11" s="101" t="s">
        <v>218</v>
      </c>
      <c r="D11" s="102" t="s">
        <v>88</v>
      </c>
      <c r="E11" s="102"/>
      <c r="F11" s="97">
        <v>20</v>
      </c>
      <c r="G11" s="103">
        <f t="shared" si="0"/>
        <v>0</v>
      </c>
      <c r="H11" s="427"/>
      <c r="I11" s="97">
        <f t="shared" si="2"/>
        <v>29</v>
      </c>
      <c r="J11" s="97">
        <f t="shared" si="1"/>
        <v>0</v>
      </c>
      <c r="K11" s="106">
        <f t="shared" si="3"/>
        <v>0</v>
      </c>
      <c r="L11" s="100"/>
      <c r="M11" s="105">
        <f t="shared" si="4"/>
        <v>0</v>
      </c>
      <c r="N11" s="385" t="e">
        <f t="shared" si="5"/>
        <v>#DIV/0!</v>
      </c>
      <c r="O11" s="386"/>
    </row>
    <row r="12" spans="2:15" x14ac:dyDescent="0.25">
      <c r="B12" s="429"/>
      <c r="C12" s="101" t="s">
        <v>226</v>
      </c>
      <c r="D12" s="102" t="s">
        <v>88</v>
      </c>
      <c r="E12" s="102"/>
      <c r="F12" s="97">
        <v>20</v>
      </c>
      <c r="G12" s="103">
        <f t="shared" si="0"/>
        <v>0</v>
      </c>
      <c r="H12" s="427"/>
      <c r="I12" s="97">
        <f t="shared" si="2"/>
        <v>29</v>
      </c>
      <c r="J12" s="97">
        <f t="shared" si="1"/>
        <v>0</v>
      </c>
      <c r="K12" s="106">
        <f t="shared" si="3"/>
        <v>0</v>
      </c>
      <c r="L12" s="100"/>
      <c r="M12" s="105">
        <f t="shared" si="4"/>
        <v>0</v>
      </c>
      <c r="N12" s="385" t="e">
        <f t="shared" si="5"/>
        <v>#DIV/0!</v>
      </c>
      <c r="O12" s="386"/>
    </row>
    <row r="13" spans="2:15" x14ac:dyDescent="0.25">
      <c r="B13" s="429"/>
      <c r="C13" s="422" t="s">
        <v>230</v>
      </c>
      <c r="D13" s="423"/>
      <c r="E13" s="423"/>
      <c r="F13" s="423"/>
      <c r="G13" s="111">
        <f>SUM(G14:G24)</f>
        <v>0</v>
      </c>
      <c r="H13" s="427"/>
      <c r="I13" s="98"/>
      <c r="J13" s="98"/>
      <c r="K13" s="107"/>
      <c r="L13" s="100"/>
      <c r="M13" s="424"/>
      <c r="N13" s="425"/>
      <c r="O13" s="426"/>
    </row>
    <row r="14" spans="2:15" x14ac:dyDescent="0.25">
      <c r="B14" s="429"/>
      <c r="C14" s="101" t="s">
        <v>227</v>
      </c>
      <c r="D14" s="102" t="s">
        <v>92</v>
      </c>
      <c r="E14" s="102"/>
      <c r="F14" s="97">
        <v>17</v>
      </c>
      <c r="G14" s="103">
        <f t="shared" ref="G14:G24" si="6">F14*E14</f>
        <v>0</v>
      </c>
      <c r="H14" s="427"/>
      <c r="I14" s="97">
        <f t="shared" si="2"/>
        <v>24.65</v>
      </c>
      <c r="J14" s="97">
        <f t="shared" ref="J14:J24" si="7">I14*E14</f>
        <v>0</v>
      </c>
      <c r="K14" s="106">
        <f t="shared" si="3"/>
        <v>0</v>
      </c>
      <c r="L14" s="100"/>
      <c r="M14" s="105">
        <f t="shared" si="4"/>
        <v>0</v>
      </c>
      <c r="N14" s="385" t="e">
        <f t="shared" si="5"/>
        <v>#DIV/0!</v>
      </c>
      <c r="O14" s="386"/>
    </row>
    <row r="15" spans="2:15" x14ac:dyDescent="0.25">
      <c r="B15" s="429"/>
      <c r="C15" s="101" t="s">
        <v>229</v>
      </c>
      <c r="D15" s="102" t="s">
        <v>92</v>
      </c>
      <c r="E15" s="102"/>
      <c r="F15" s="97">
        <v>12</v>
      </c>
      <c r="G15" s="103">
        <f t="shared" si="6"/>
        <v>0</v>
      </c>
      <c r="H15" s="427"/>
      <c r="I15" s="97">
        <f t="shared" si="2"/>
        <v>17.399999999999999</v>
      </c>
      <c r="J15" s="97">
        <f t="shared" si="7"/>
        <v>0</v>
      </c>
      <c r="K15" s="106">
        <f t="shared" si="3"/>
        <v>0</v>
      </c>
      <c r="L15" s="100"/>
      <c r="M15" s="105">
        <f t="shared" si="4"/>
        <v>0</v>
      </c>
      <c r="N15" s="385" t="e">
        <f t="shared" si="5"/>
        <v>#DIV/0!</v>
      </c>
      <c r="O15" s="386"/>
    </row>
    <row r="16" spans="2:15" x14ac:dyDescent="0.25">
      <c r="B16" s="429"/>
      <c r="C16" s="101" t="s">
        <v>213</v>
      </c>
      <c r="D16" s="102" t="s">
        <v>198</v>
      </c>
      <c r="E16" s="102"/>
      <c r="F16" s="97">
        <v>28.5</v>
      </c>
      <c r="G16" s="103">
        <f t="shared" si="6"/>
        <v>0</v>
      </c>
      <c r="H16" s="427"/>
      <c r="I16" s="97">
        <f t="shared" si="2"/>
        <v>41.324999999999996</v>
      </c>
      <c r="J16" s="97">
        <f t="shared" si="7"/>
        <v>0</v>
      </c>
      <c r="K16" s="106">
        <f t="shared" si="3"/>
        <v>0</v>
      </c>
      <c r="L16" s="100"/>
      <c r="M16" s="105">
        <f t="shared" si="4"/>
        <v>0</v>
      </c>
      <c r="N16" s="385" t="e">
        <f t="shared" si="5"/>
        <v>#DIV/0!</v>
      </c>
      <c r="O16" s="386"/>
    </row>
    <row r="17" spans="2:15" x14ac:dyDescent="0.25">
      <c r="B17" s="429"/>
      <c r="C17" s="101" t="s">
        <v>214</v>
      </c>
      <c r="D17" s="102" t="s">
        <v>151</v>
      </c>
      <c r="E17" s="102"/>
      <c r="F17" s="97">
        <v>12</v>
      </c>
      <c r="G17" s="103">
        <f t="shared" si="6"/>
        <v>0</v>
      </c>
      <c r="H17" s="427"/>
      <c r="I17" s="97">
        <f t="shared" si="2"/>
        <v>17.399999999999999</v>
      </c>
      <c r="J17" s="97">
        <f t="shared" si="7"/>
        <v>0</v>
      </c>
      <c r="K17" s="106">
        <f t="shared" si="3"/>
        <v>0</v>
      </c>
      <c r="L17" s="100"/>
      <c r="M17" s="105">
        <f t="shared" si="4"/>
        <v>0</v>
      </c>
      <c r="N17" s="385" t="e">
        <f t="shared" si="5"/>
        <v>#DIV/0!</v>
      </c>
      <c r="O17" s="386"/>
    </row>
    <row r="18" spans="2:15" x14ac:dyDescent="0.25">
      <c r="B18" s="429"/>
      <c r="C18" s="101" t="s">
        <v>215</v>
      </c>
      <c r="D18" s="102" t="s">
        <v>151</v>
      </c>
      <c r="E18" s="102"/>
      <c r="F18" s="97">
        <v>40</v>
      </c>
      <c r="G18" s="103">
        <f t="shared" si="6"/>
        <v>0</v>
      </c>
      <c r="H18" s="427"/>
      <c r="I18" s="97">
        <f t="shared" si="2"/>
        <v>58</v>
      </c>
      <c r="J18" s="97">
        <f t="shared" si="7"/>
        <v>0</v>
      </c>
      <c r="K18" s="106">
        <f t="shared" si="3"/>
        <v>0</v>
      </c>
      <c r="L18" s="100"/>
      <c r="M18" s="105">
        <f t="shared" si="4"/>
        <v>0</v>
      </c>
      <c r="N18" s="385" t="e">
        <f t="shared" si="5"/>
        <v>#DIV/0!</v>
      </c>
      <c r="O18" s="386"/>
    </row>
    <row r="19" spans="2:15" x14ac:dyDescent="0.25">
      <c r="B19" s="429"/>
      <c r="C19" s="101" t="s">
        <v>221</v>
      </c>
      <c r="D19" s="102" t="s">
        <v>88</v>
      </c>
      <c r="E19" s="102"/>
      <c r="F19" s="97">
        <v>50</v>
      </c>
      <c r="G19" s="103">
        <f t="shared" si="6"/>
        <v>0</v>
      </c>
      <c r="H19" s="427"/>
      <c r="I19" s="97">
        <f t="shared" si="2"/>
        <v>72.5</v>
      </c>
      <c r="J19" s="97">
        <f t="shared" si="7"/>
        <v>0</v>
      </c>
      <c r="K19" s="106">
        <f t="shared" si="3"/>
        <v>0</v>
      </c>
      <c r="L19" s="100"/>
      <c r="M19" s="105">
        <f t="shared" si="4"/>
        <v>0</v>
      </c>
      <c r="N19" s="385" t="e">
        <f t="shared" si="5"/>
        <v>#DIV/0!</v>
      </c>
      <c r="O19" s="386"/>
    </row>
    <row r="20" spans="2:15" x14ac:dyDescent="0.25">
      <c r="B20" s="429"/>
      <c r="C20" s="101" t="s">
        <v>216</v>
      </c>
      <c r="D20" s="102" t="s">
        <v>92</v>
      </c>
      <c r="E20" s="102"/>
      <c r="F20" s="97">
        <v>12</v>
      </c>
      <c r="G20" s="103">
        <f t="shared" si="6"/>
        <v>0</v>
      </c>
      <c r="H20" s="427"/>
      <c r="I20" s="97">
        <f t="shared" si="2"/>
        <v>17.399999999999999</v>
      </c>
      <c r="J20" s="97">
        <f t="shared" si="7"/>
        <v>0</v>
      </c>
      <c r="K20" s="106">
        <f t="shared" si="3"/>
        <v>0</v>
      </c>
      <c r="L20" s="100"/>
      <c r="M20" s="105">
        <f t="shared" si="4"/>
        <v>0</v>
      </c>
      <c r="N20" s="385" t="e">
        <f t="shared" si="5"/>
        <v>#DIV/0!</v>
      </c>
      <c r="O20" s="386"/>
    </row>
    <row r="21" spans="2:15" x14ac:dyDescent="0.25">
      <c r="B21" s="429"/>
      <c r="C21" s="101" t="s">
        <v>217</v>
      </c>
      <c r="D21" s="102" t="s">
        <v>92</v>
      </c>
      <c r="E21" s="102"/>
      <c r="F21" s="97">
        <v>12</v>
      </c>
      <c r="G21" s="103">
        <f t="shared" si="6"/>
        <v>0</v>
      </c>
      <c r="H21" s="427"/>
      <c r="I21" s="97">
        <f t="shared" si="2"/>
        <v>17.399999999999999</v>
      </c>
      <c r="J21" s="97">
        <f t="shared" si="7"/>
        <v>0</v>
      </c>
      <c r="K21" s="106">
        <f t="shared" si="3"/>
        <v>0</v>
      </c>
      <c r="L21" s="100"/>
      <c r="M21" s="105">
        <f t="shared" si="4"/>
        <v>0</v>
      </c>
      <c r="N21" s="385" t="e">
        <f t="shared" si="5"/>
        <v>#DIV/0!</v>
      </c>
      <c r="O21" s="386"/>
    </row>
    <row r="22" spans="2:15" x14ac:dyDescent="0.25">
      <c r="B22" s="429"/>
      <c r="C22" s="101" t="s">
        <v>218</v>
      </c>
      <c r="D22" s="102" t="s">
        <v>88</v>
      </c>
      <c r="E22" s="102"/>
      <c r="F22" s="97">
        <v>20</v>
      </c>
      <c r="G22" s="103">
        <f t="shared" si="6"/>
        <v>0</v>
      </c>
      <c r="H22" s="427"/>
      <c r="I22" s="97">
        <f t="shared" si="2"/>
        <v>29</v>
      </c>
      <c r="J22" s="97">
        <f t="shared" si="7"/>
        <v>0</v>
      </c>
      <c r="K22" s="106">
        <f t="shared" si="3"/>
        <v>0</v>
      </c>
      <c r="L22" s="100"/>
      <c r="M22" s="105">
        <f t="shared" si="4"/>
        <v>0</v>
      </c>
      <c r="N22" s="385" t="e">
        <f t="shared" si="5"/>
        <v>#DIV/0!</v>
      </c>
      <c r="O22" s="386"/>
    </row>
    <row r="23" spans="2:15" x14ac:dyDescent="0.25">
      <c r="B23" s="429"/>
      <c r="C23" s="101" t="s">
        <v>219</v>
      </c>
      <c r="D23" s="102" t="s">
        <v>88</v>
      </c>
      <c r="E23" s="102"/>
      <c r="F23" s="97">
        <v>20</v>
      </c>
      <c r="G23" s="103">
        <f t="shared" si="6"/>
        <v>0</v>
      </c>
      <c r="H23" s="427"/>
      <c r="I23" s="97">
        <f t="shared" si="2"/>
        <v>29</v>
      </c>
      <c r="J23" s="97">
        <f t="shared" si="7"/>
        <v>0</v>
      </c>
      <c r="K23" s="106">
        <f t="shared" si="3"/>
        <v>0</v>
      </c>
      <c r="L23" s="100"/>
      <c r="M23" s="105">
        <f t="shared" si="4"/>
        <v>0</v>
      </c>
      <c r="N23" s="385" t="e">
        <f t="shared" si="5"/>
        <v>#DIV/0!</v>
      </c>
      <c r="O23" s="386"/>
    </row>
    <row r="24" spans="2:15" x14ac:dyDescent="0.25">
      <c r="B24" s="429"/>
      <c r="C24" s="101" t="s">
        <v>226</v>
      </c>
      <c r="D24" s="102" t="s">
        <v>88</v>
      </c>
      <c r="E24" s="102"/>
      <c r="F24" s="97">
        <v>20</v>
      </c>
      <c r="G24" s="103">
        <f t="shared" si="6"/>
        <v>0</v>
      </c>
      <c r="H24" s="427"/>
      <c r="I24" s="97">
        <f t="shared" si="2"/>
        <v>29</v>
      </c>
      <c r="J24" s="97">
        <f t="shared" si="7"/>
        <v>0</v>
      </c>
      <c r="K24" s="106">
        <f t="shared" si="3"/>
        <v>0</v>
      </c>
      <c r="L24" s="100"/>
      <c r="M24" s="105">
        <f t="shared" si="4"/>
        <v>0</v>
      </c>
      <c r="N24" s="385" t="e">
        <f t="shared" si="5"/>
        <v>#DIV/0!</v>
      </c>
      <c r="O24" s="386"/>
    </row>
    <row r="25" spans="2:15" x14ac:dyDescent="0.25">
      <c r="B25" s="429"/>
      <c r="C25" s="421" t="s">
        <v>25</v>
      </c>
      <c r="D25" s="421"/>
      <c r="E25" s="421"/>
      <c r="F25" s="421"/>
      <c r="G25" s="104">
        <f>SUM(G5:G12,G14:G24)</f>
        <v>0</v>
      </c>
      <c r="H25" s="427"/>
      <c r="I25" s="393" t="s">
        <v>25</v>
      </c>
      <c r="J25" s="393">
        <f>SUM(J5:J24)</f>
        <v>0</v>
      </c>
      <c r="K25" s="395">
        <f>SUM(K5:K24)</f>
        <v>0</v>
      </c>
      <c r="L25" s="100"/>
      <c r="M25" s="387">
        <f>SUM(M5:M24)</f>
        <v>0</v>
      </c>
      <c r="N25" s="388"/>
      <c r="O25" s="389"/>
    </row>
    <row r="26" spans="2:15" ht="15.75" thickBot="1" x14ac:dyDescent="0.3">
      <c r="B26" s="430"/>
      <c r="C26" s="397" t="s">
        <v>223</v>
      </c>
      <c r="D26" s="398"/>
      <c r="E26" s="108" t="s">
        <v>222</v>
      </c>
      <c r="F26" s="109">
        <v>1</v>
      </c>
      <c r="G26" s="110">
        <f>ROUNDUP((G25/F26),0)</f>
        <v>0</v>
      </c>
      <c r="H26" s="428"/>
      <c r="I26" s="394"/>
      <c r="J26" s="394"/>
      <c r="K26" s="396"/>
      <c r="L26" s="100"/>
      <c r="M26" s="390"/>
      <c r="N26" s="391"/>
      <c r="O26" s="392"/>
    </row>
    <row r="27" spans="2:15" ht="15.75" thickBot="1" x14ac:dyDescent="0.3">
      <c r="B27" s="64"/>
      <c r="C27" s="68"/>
      <c r="D27" s="68"/>
      <c r="E27" s="68"/>
      <c r="F27" s="69"/>
      <c r="G27" s="70"/>
      <c r="H27" s="70"/>
      <c r="I27" s="70"/>
      <c r="J27" s="70"/>
      <c r="K27" s="70"/>
    </row>
    <row r="28" spans="2:15" x14ac:dyDescent="0.25">
      <c r="B28" s="431" t="s">
        <v>0</v>
      </c>
      <c r="C28" s="399" t="s">
        <v>19</v>
      </c>
      <c r="D28" s="399" t="s">
        <v>14</v>
      </c>
      <c r="E28" s="399" t="s">
        <v>1</v>
      </c>
      <c r="F28" s="417" t="s">
        <v>20</v>
      </c>
      <c r="G28" s="419" t="s">
        <v>21</v>
      </c>
      <c r="H28" s="401" t="s">
        <v>234</v>
      </c>
      <c r="I28" s="403" t="s">
        <v>232</v>
      </c>
      <c r="J28" s="406" t="s">
        <v>233</v>
      </c>
      <c r="K28" s="409" t="s">
        <v>204</v>
      </c>
      <c r="L28" s="100"/>
      <c r="M28" s="411" t="s">
        <v>31</v>
      </c>
      <c r="N28" s="413" t="s">
        <v>32</v>
      </c>
      <c r="O28" s="414"/>
    </row>
    <row r="29" spans="2:15" x14ac:dyDescent="0.25">
      <c r="B29" s="432"/>
      <c r="C29" s="400"/>
      <c r="D29" s="400"/>
      <c r="E29" s="400"/>
      <c r="F29" s="418"/>
      <c r="G29" s="420"/>
      <c r="H29" s="402"/>
      <c r="I29" s="404"/>
      <c r="J29" s="407"/>
      <c r="K29" s="410"/>
      <c r="L29" s="100"/>
      <c r="M29" s="412"/>
      <c r="N29" s="415"/>
      <c r="O29" s="416"/>
    </row>
    <row r="30" spans="2:15" x14ac:dyDescent="0.25">
      <c r="B30" s="429" t="s">
        <v>241</v>
      </c>
      <c r="C30" s="422" t="s">
        <v>231</v>
      </c>
      <c r="D30" s="423"/>
      <c r="E30" s="423"/>
      <c r="F30" s="423"/>
      <c r="G30" s="111">
        <f>SUM(G31:G36)</f>
        <v>0</v>
      </c>
      <c r="H30" s="402"/>
      <c r="I30" s="405"/>
      <c r="J30" s="408"/>
      <c r="K30" s="410"/>
      <c r="L30" s="100"/>
      <c r="M30" s="412"/>
      <c r="N30" s="415"/>
      <c r="O30" s="416"/>
    </row>
    <row r="31" spans="2:15" x14ac:dyDescent="0.25">
      <c r="B31" s="429"/>
      <c r="C31" s="101" t="s">
        <v>210</v>
      </c>
      <c r="D31" s="102" t="s">
        <v>198</v>
      </c>
      <c r="E31" s="102"/>
      <c r="F31" s="97">
        <v>28.5</v>
      </c>
      <c r="G31" s="103">
        <f t="shared" ref="G31:G36" si="8">F31*E31</f>
        <v>0</v>
      </c>
      <c r="H31" s="427">
        <v>1.45</v>
      </c>
      <c r="I31" s="97">
        <f>F31*$H$31</f>
        <v>41.324999999999996</v>
      </c>
      <c r="J31" s="97">
        <f t="shared" ref="J31:J36" si="9">I31*E31</f>
        <v>0</v>
      </c>
      <c r="K31" s="106">
        <f t="shared" ref="K31:K50" si="10">J31*1.23</f>
        <v>0</v>
      </c>
      <c r="L31" s="100"/>
      <c r="M31" s="105">
        <f t="shared" ref="M31:M36" si="11">J31-G31</f>
        <v>0</v>
      </c>
      <c r="N31" s="385" t="e">
        <f t="shared" ref="N31:N36" si="12">(J31/G31)-100%</f>
        <v>#DIV/0!</v>
      </c>
      <c r="O31" s="386"/>
    </row>
    <row r="32" spans="2:15" x14ac:dyDescent="0.25">
      <c r="B32" s="429"/>
      <c r="C32" s="101" t="s">
        <v>224</v>
      </c>
      <c r="D32" s="102" t="s">
        <v>198</v>
      </c>
      <c r="E32" s="102"/>
      <c r="F32" s="97">
        <v>38</v>
      </c>
      <c r="G32" s="103">
        <f t="shared" si="8"/>
        <v>0</v>
      </c>
      <c r="H32" s="427"/>
      <c r="I32" s="97">
        <f t="shared" ref="I32:I50" si="13">F32*$H$31</f>
        <v>55.1</v>
      </c>
      <c r="J32" s="97">
        <f t="shared" si="9"/>
        <v>0</v>
      </c>
      <c r="K32" s="106">
        <f t="shared" si="10"/>
        <v>0</v>
      </c>
      <c r="L32" s="100"/>
      <c r="M32" s="105">
        <f t="shared" si="11"/>
        <v>0</v>
      </c>
      <c r="N32" s="385" t="e">
        <f t="shared" si="12"/>
        <v>#DIV/0!</v>
      </c>
      <c r="O32" s="386"/>
    </row>
    <row r="33" spans="2:15" x14ac:dyDescent="0.25">
      <c r="B33" s="429"/>
      <c r="C33" s="101" t="s">
        <v>211</v>
      </c>
      <c r="D33" s="102" t="s">
        <v>92</v>
      </c>
      <c r="E33" s="102"/>
      <c r="F33" s="97">
        <v>17</v>
      </c>
      <c r="G33" s="103">
        <f t="shared" si="8"/>
        <v>0</v>
      </c>
      <c r="H33" s="427"/>
      <c r="I33" s="97">
        <f t="shared" si="13"/>
        <v>24.65</v>
      </c>
      <c r="J33" s="97">
        <f t="shared" si="9"/>
        <v>0</v>
      </c>
      <c r="K33" s="106">
        <f t="shared" si="10"/>
        <v>0</v>
      </c>
      <c r="L33" s="100"/>
      <c r="M33" s="105">
        <f t="shared" si="11"/>
        <v>0</v>
      </c>
      <c r="N33" s="385" t="e">
        <f t="shared" si="12"/>
        <v>#DIV/0!</v>
      </c>
      <c r="O33" s="386"/>
    </row>
    <row r="34" spans="2:15" x14ac:dyDescent="0.25">
      <c r="B34" s="429"/>
      <c r="C34" s="101" t="s">
        <v>235</v>
      </c>
      <c r="D34" s="102" t="s">
        <v>92</v>
      </c>
      <c r="E34" s="102"/>
      <c r="F34" s="97">
        <v>12</v>
      </c>
      <c r="G34" s="103">
        <f t="shared" si="8"/>
        <v>0</v>
      </c>
      <c r="H34" s="427"/>
      <c r="I34" s="97">
        <f t="shared" si="13"/>
        <v>17.399999999999999</v>
      </c>
      <c r="J34" s="97">
        <f t="shared" si="9"/>
        <v>0</v>
      </c>
      <c r="K34" s="106">
        <f t="shared" si="10"/>
        <v>0</v>
      </c>
      <c r="L34" s="100"/>
      <c r="M34" s="105">
        <f t="shared" si="11"/>
        <v>0</v>
      </c>
      <c r="N34" s="385" t="e">
        <f t="shared" si="12"/>
        <v>#DIV/0!</v>
      </c>
      <c r="O34" s="386"/>
    </row>
    <row r="35" spans="2:15" x14ac:dyDescent="0.25">
      <c r="B35" s="429"/>
      <c r="C35" s="101" t="s">
        <v>218</v>
      </c>
      <c r="D35" s="102" t="s">
        <v>88</v>
      </c>
      <c r="E35" s="102"/>
      <c r="F35" s="97">
        <v>20</v>
      </c>
      <c r="G35" s="103">
        <f t="shared" si="8"/>
        <v>0</v>
      </c>
      <c r="H35" s="427"/>
      <c r="I35" s="97">
        <f t="shared" si="13"/>
        <v>29</v>
      </c>
      <c r="J35" s="97">
        <f t="shared" si="9"/>
        <v>0</v>
      </c>
      <c r="K35" s="106">
        <f t="shared" si="10"/>
        <v>0</v>
      </c>
      <c r="L35" s="100"/>
      <c r="M35" s="105">
        <f t="shared" si="11"/>
        <v>0</v>
      </c>
      <c r="N35" s="385" t="e">
        <f t="shared" si="12"/>
        <v>#DIV/0!</v>
      </c>
      <c r="O35" s="386"/>
    </row>
    <row r="36" spans="2:15" x14ac:dyDescent="0.25">
      <c r="B36" s="429"/>
      <c r="C36" s="101" t="s">
        <v>226</v>
      </c>
      <c r="D36" s="102" t="s">
        <v>88</v>
      </c>
      <c r="E36" s="102"/>
      <c r="F36" s="97">
        <v>20</v>
      </c>
      <c r="G36" s="103">
        <f t="shared" si="8"/>
        <v>0</v>
      </c>
      <c r="H36" s="427"/>
      <c r="I36" s="97">
        <f t="shared" si="13"/>
        <v>29</v>
      </c>
      <c r="J36" s="97">
        <f t="shared" si="9"/>
        <v>0</v>
      </c>
      <c r="K36" s="106">
        <f t="shared" si="10"/>
        <v>0</v>
      </c>
      <c r="L36" s="100"/>
      <c r="M36" s="105">
        <f t="shared" si="11"/>
        <v>0</v>
      </c>
      <c r="N36" s="385" t="e">
        <f t="shared" si="12"/>
        <v>#DIV/0!</v>
      </c>
      <c r="O36" s="386"/>
    </row>
    <row r="37" spans="2:15" x14ac:dyDescent="0.25">
      <c r="B37" s="429"/>
      <c r="C37" s="422" t="s">
        <v>230</v>
      </c>
      <c r="D37" s="423"/>
      <c r="E37" s="423"/>
      <c r="F37" s="423"/>
      <c r="G37" s="111">
        <f>SUM(G38:G50)</f>
        <v>0</v>
      </c>
      <c r="H37" s="427"/>
      <c r="I37" s="99"/>
      <c r="J37" s="98"/>
      <c r="K37" s="107"/>
      <c r="L37" s="100"/>
      <c r="M37" s="424"/>
      <c r="N37" s="425"/>
      <c r="O37" s="426"/>
    </row>
    <row r="38" spans="2:15" x14ac:dyDescent="0.25">
      <c r="B38" s="429"/>
      <c r="C38" s="101" t="s">
        <v>227</v>
      </c>
      <c r="D38" s="102" t="s">
        <v>92</v>
      </c>
      <c r="E38" s="102"/>
      <c r="F38" s="97">
        <v>17</v>
      </c>
      <c r="G38" s="103">
        <f t="shared" ref="G38:G50" si="14">F38*E38</f>
        <v>0</v>
      </c>
      <c r="H38" s="427"/>
      <c r="I38" s="97">
        <f t="shared" si="13"/>
        <v>24.65</v>
      </c>
      <c r="J38" s="97">
        <f t="shared" ref="J38:J50" si="15">I38*E38</f>
        <v>0</v>
      </c>
      <c r="K38" s="106">
        <f t="shared" si="10"/>
        <v>0</v>
      </c>
      <c r="L38" s="100"/>
      <c r="M38" s="105">
        <f t="shared" ref="M38:M50" si="16">J38-G38</f>
        <v>0</v>
      </c>
      <c r="N38" s="385" t="e">
        <f t="shared" ref="N38:N40" si="17">(J38/G38)-100%</f>
        <v>#DIV/0!</v>
      </c>
      <c r="O38" s="386"/>
    </row>
    <row r="39" spans="2:15" x14ac:dyDescent="0.25">
      <c r="B39" s="429"/>
      <c r="C39" s="101" t="s">
        <v>229</v>
      </c>
      <c r="D39" s="102" t="s">
        <v>92</v>
      </c>
      <c r="E39" s="102"/>
      <c r="F39" s="97">
        <v>12</v>
      </c>
      <c r="G39" s="103">
        <f t="shared" si="14"/>
        <v>0</v>
      </c>
      <c r="H39" s="427"/>
      <c r="I39" s="97">
        <f t="shared" si="13"/>
        <v>17.399999999999999</v>
      </c>
      <c r="J39" s="97">
        <f t="shared" si="15"/>
        <v>0</v>
      </c>
      <c r="K39" s="106">
        <f t="shared" si="10"/>
        <v>0</v>
      </c>
      <c r="L39" s="100"/>
      <c r="M39" s="105">
        <f t="shared" si="16"/>
        <v>0</v>
      </c>
      <c r="N39" s="385" t="e">
        <f t="shared" si="17"/>
        <v>#DIV/0!</v>
      </c>
      <c r="O39" s="386"/>
    </row>
    <row r="40" spans="2:15" x14ac:dyDescent="0.25">
      <c r="B40" s="429"/>
      <c r="C40" s="101" t="s">
        <v>213</v>
      </c>
      <c r="D40" s="102" t="s">
        <v>198</v>
      </c>
      <c r="E40" s="102"/>
      <c r="F40" s="97">
        <v>28.5</v>
      </c>
      <c r="G40" s="103">
        <f t="shared" si="14"/>
        <v>0</v>
      </c>
      <c r="H40" s="427"/>
      <c r="I40" s="97">
        <f t="shared" si="13"/>
        <v>41.324999999999996</v>
      </c>
      <c r="J40" s="97">
        <f t="shared" si="15"/>
        <v>0</v>
      </c>
      <c r="K40" s="106">
        <f t="shared" si="10"/>
        <v>0</v>
      </c>
      <c r="L40" s="100"/>
      <c r="M40" s="105">
        <f t="shared" si="16"/>
        <v>0</v>
      </c>
      <c r="N40" s="385" t="e">
        <f t="shared" si="17"/>
        <v>#DIV/0!</v>
      </c>
      <c r="O40" s="386"/>
    </row>
    <row r="41" spans="2:15" x14ac:dyDescent="0.25">
      <c r="B41" s="429"/>
      <c r="C41" s="101" t="s">
        <v>236</v>
      </c>
      <c r="D41" s="102" t="s">
        <v>151</v>
      </c>
      <c r="E41" s="102"/>
      <c r="F41" s="97">
        <v>13</v>
      </c>
      <c r="G41" s="103">
        <f t="shared" si="14"/>
        <v>0</v>
      </c>
      <c r="H41" s="427"/>
      <c r="I41" s="97">
        <f t="shared" si="13"/>
        <v>18.849999999999998</v>
      </c>
      <c r="J41" s="97">
        <f t="shared" si="15"/>
        <v>0</v>
      </c>
      <c r="K41" s="106">
        <f t="shared" si="10"/>
        <v>0</v>
      </c>
      <c r="L41" s="100"/>
      <c r="M41" s="105">
        <f t="shared" si="16"/>
        <v>0</v>
      </c>
      <c r="N41" s="385" t="e">
        <f t="shared" ref="N41:N50" si="18">(J41/G41)-100%</f>
        <v>#DIV/0!</v>
      </c>
      <c r="O41" s="386"/>
    </row>
    <row r="42" spans="2:15" x14ac:dyDescent="0.25">
      <c r="B42" s="429"/>
      <c r="C42" s="101" t="s">
        <v>237</v>
      </c>
      <c r="D42" s="102" t="s">
        <v>151</v>
      </c>
      <c r="E42" s="102"/>
      <c r="F42" s="97">
        <v>15</v>
      </c>
      <c r="G42" s="103">
        <f t="shared" si="14"/>
        <v>0</v>
      </c>
      <c r="H42" s="427"/>
      <c r="I42" s="97">
        <f t="shared" si="13"/>
        <v>21.75</v>
      </c>
      <c r="J42" s="97">
        <f t="shared" si="15"/>
        <v>0</v>
      </c>
      <c r="K42" s="106">
        <f t="shared" si="10"/>
        <v>0</v>
      </c>
      <c r="L42" s="100"/>
      <c r="M42" s="105">
        <f t="shared" si="16"/>
        <v>0</v>
      </c>
      <c r="N42" s="385" t="e">
        <f t="shared" si="18"/>
        <v>#DIV/0!</v>
      </c>
      <c r="O42" s="386"/>
    </row>
    <row r="43" spans="2:15" x14ac:dyDescent="0.25">
      <c r="B43" s="429"/>
      <c r="C43" s="101" t="s">
        <v>238</v>
      </c>
      <c r="D43" s="102" t="s">
        <v>151</v>
      </c>
      <c r="E43" s="102"/>
      <c r="F43" s="97">
        <v>10</v>
      </c>
      <c r="G43" s="103">
        <f t="shared" si="14"/>
        <v>0</v>
      </c>
      <c r="H43" s="427"/>
      <c r="I43" s="97">
        <f t="shared" si="13"/>
        <v>14.5</v>
      </c>
      <c r="J43" s="97">
        <f t="shared" si="15"/>
        <v>0</v>
      </c>
      <c r="K43" s="106">
        <f t="shared" si="10"/>
        <v>0</v>
      </c>
      <c r="L43" s="100"/>
      <c r="M43" s="105">
        <f t="shared" si="16"/>
        <v>0</v>
      </c>
      <c r="N43" s="385" t="e">
        <f t="shared" si="18"/>
        <v>#DIV/0!</v>
      </c>
      <c r="O43" s="386"/>
    </row>
    <row r="44" spans="2:15" x14ac:dyDescent="0.25">
      <c r="B44" s="429"/>
      <c r="C44" s="101" t="s">
        <v>239</v>
      </c>
      <c r="D44" s="102" t="s">
        <v>151</v>
      </c>
      <c r="E44" s="112"/>
      <c r="F44" s="97">
        <v>6</v>
      </c>
      <c r="G44" s="103">
        <f t="shared" si="14"/>
        <v>0</v>
      </c>
      <c r="H44" s="427"/>
      <c r="I44" s="97">
        <f t="shared" si="13"/>
        <v>8.6999999999999993</v>
      </c>
      <c r="J44" s="97">
        <f t="shared" si="15"/>
        <v>0</v>
      </c>
      <c r="K44" s="106">
        <f t="shared" si="10"/>
        <v>0</v>
      </c>
      <c r="L44" s="100"/>
      <c r="M44" s="105">
        <f t="shared" si="16"/>
        <v>0</v>
      </c>
      <c r="N44" s="385" t="e">
        <f t="shared" si="18"/>
        <v>#DIV/0!</v>
      </c>
      <c r="O44" s="386"/>
    </row>
    <row r="45" spans="2:15" x14ac:dyDescent="0.25">
      <c r="B45" s="429"/>
      <c r="C45" s="101" t="s">
        <v>240</v>
      </c>
      <c r="D45" s="102" t="s">
        <v>151</v>
      </c>
      <c r="E45" s="112"/>
      <c r="F45" s="97">
        <v>8</v>
      </c>
      <c r="G45" s="103">
        <f t="shared" si="14"/>
        <v>0</v>
      </c>
      <c r="H45" s="427"/>
      <c r="I45" s="97">
        <f t="shared" si="13"/>
        <v>11.6</v>
      </c>
      <c r="J45" s="97">
        <f t="shared" si="15"/>
        <v>0</v>
      </c>
      <c r="K45" s="106">
        <f t="shared" si="10"/>
        <v>0</v>
      </c>
      <c r="L45" s="100"/>
      <c r="M45" s="105">
        <f t="shared" si="16"/>
        <v>0</v>
      </c>
      <c r="N45" s="385" t="e">
        <f t="shared" si="18"/>
        <v>#DIV/0!</v>
      </c>
      <c r="O45" s="386"/>
    </row>
    <row r="46" spans="2:15" x14ac:dyDescent="0.25">
      <c r="B46" s="429"/>
      <c r="C46" s="101" t="s">
        <v>216</v>
      </c>
      <c r="D46" s="102" t="s">
        <v>92</v>
      </c>
      <c r="E46" s="102"/>
      <c r="F46" s="97">
        <v>12</v>
      </c>
      <c r="G46" s="103">
        <f t="shared" si="14"/>
        <v>0</v>
      </c>
      <c r="H46" s="427"/>
      <c r="I46" s="97">
        <f t="shared" si="13"/>
        <v>17.399999999999999</v>
      </c>
      <c r="J46" s="97">
        <f t="shared" si="15"/>
        <v>0</v>
      </c>
      <c r="K46" s="106">
        <f t="shared" si="10"/>
        <v>0</v>
      </c>
      <c r="L46" s="100"/>
      <c r="M46" s="105">
        <f t="shared" si="16"/>
        <v>0</v>
      </c>
      <c r="N46" s="385" t="e">
        <f t="shared" si="18"/>
        <v>#DIV/0!</v>
      </c>
      <c r="O46" s="386"/>
    </row>
    <row r="47" spans="2:15" x14ac:dyDescent="0.25">
      <c r="B47" s="429"/>
      <c r="C47" s="101" t="s">
        <v>217</v>
      </c>
      <c r="D47" s="102" t="s">
        <v>92</v>
      </c>
      <c r="E47" s="102"/>
      <c r="F47" s="97">
        <v>12</v>
      </c>
      <c r="G47" s="103">
        <f t="shared" si="14"/>
        <v>0</v>
      </c>
      <c r="H47" s="427"/>
      <c r="I47" s="97">
        <f t="shared" si="13"/>
        <v>17.399999999999999</v>
      </c>
      <c r="J47" s="97">
        <f t="shared" si="15"/>
        <v>0</v>
      </c>
      <c r="K47" s="106">
        <f t="shared" si="10"/>
        <v>0</v>
      </c>
      <c r="L47" s="100"/>
      <c r="M47" s="105">
        <f t="shared" si="16"/>
        <v>0</v>
      </c>
      <c r="N47" s="385" t="e">
        <f t="shared" si="18"/>
        <v>#DIV/0!</v>
      </c>
      <c r="O47" s="386"/>
    </row>
    <row r="48" spans="2:15" x14ac:dyDescent="0.25">
      <c r="B48" s="429"/>
      <c r="C48" s="101" t="s">
        <v>218</v>
      </c>
      <c r="D48" s="102" t="s">
        <v>88</v>
      </c>
      <c r="E48" s="102"/>
      <c r="F48" s="97">
        <v>20</v>
      </c>
      <c r="G48" s="103">
        <f t="shared" si="14"/>
        <v>0</v>
      </c>
      <c r="H48" s="427"/>
      <c r="I48" s="97">
        <f t="shared" si="13"/>
        <v>29</v>
      </c>
      <c r="J48" s="97">
        <f t="shared" si="15"/>
        <v>0</v>
      </c>
      <c r="K48" s="106">
        <f t="shared" si="10"/>
        <v>0</v>
      </c>
      <c r="L48" s="100"/>
      <c r="M48" s="105">
        <f t="shared" si="16"/>
        <v>0</v>
      </c>
      <c r="N48" s="385" t="e">
        <f t="shared" si="18"/>
        <v>#DIV/0!</v>
      </c>
      <c r="O48" s="386"/>
    </row>
    <row r="49" spans="2:15" x14ac:dyDescent="0.25">
      <c r="B49" s="429"/>
      <c r="C49" s="101" t="s">
        <v>219</v>
      </c>
      <c r="D49" s="102" t="s">
        <v>88</v>
      </c>
      <c r="E49" s="102"/>
      <c r="F49" s="97">
        <v>20</v>
      </c>
      <c r="G49" s="103">
        <f t="shared" si="14"/>
        <v>0</v>
      </c>
      <c r="H49" s="427"/>
      <c r="I49" s="97">
        <f t="shared" si="13"/>
        <v>29</v>
      </c>
      <c r="J49" s="97">
        <f t="shared" si="15"/>
        <v>0</v>
      </c>
      <c r="K49" s="106">
        <f t="shared" si="10"/>
        <v>0</v>
      </c>
      <c r="L49" s="100"/>
      <c r="M49" s="105">
        <f t="shared" si="16"/>
        <v>0</v>
      </c>
      <c r="N49" s="385" t="e">
        <f t="shared" si="18"/>
        <v>#DIV/0!</v>
      </c>
      <c r="O49" s="386"/>
    </row>
    <row r="50" spans="2:15" x14ac:dyDescent="0.25">
      <c r="B50" s="429"/>
      <c r="C50" s="101" t="s">
        <v>226</v>
      </c>
      <c r="D50" s="102" t="s">
        <v>88</v>
      </c>
      <c r="E50" s="102"/>
      <c r="F50" s="97">
        <v>20</v>
      </c>
      <c r="G50" s="103">
        <f t="shared" si="14"/>
        <v>0</v>
      </c>
      <c r="H50" s="427"/>
      <c r="I50" s="97">
        <f t="shared" si="13"/>
        <v>29</v>
      </c>
      <c r="J50" s="97">
        <f t="shared" si="15"/>
        <v>0</v>
      </c>
      <c r="K50" s="106">
        <f t="shared" si="10"/>
        <v>0</v>
      </c>
      <c r="L50" s="100"/>
      <c r="M50" s="105">
        <f t="shared" si="16"/>
        <v>0</v>
      </c>
      <c r="N50" s="385" t="e">
        <f t="shared" si="18"/>
        <v>#DIV/0!</v>
      </c>
      <c r="O50" s="386"/>
    </row>
    <row r="51" spans="2:15" x14ac:dyDescent="0.25">
      <c r="B51" s="429"/>
      <c r="C51" s="421" t="s">
        <v>25</v>
      </c>
      <c r="D51" s="421"/>
      <c r="E51" s="421"/>
      <c r="F51" s="421"/>
      <c r="G51" s="104">
        <f>SUM(G31:G36,G38:G50)</f>
        <v>0</v>
      </c>
      <c r="H51" s="427"/>
      <c r="I51" s="393" t="s">
        <v>25</v>
      </c>
      <c r="J51" s="393">
        <f>SUM(J31:J50)</f>
        <v>0</v>
      </c>
      <c r="K51" s="395">
        <f>SUM(K31:K50)</f>
        <v>0</v>
      </c>
      <c r="L51" s="100"/>
      <c r="M51" s="387">
        <f>SUM(M31:M50)</f>
        <v>0</v>
      </c>
      <c r="N51" s="388"/>
      <c r="O51" s="389"/>
    </row>
    <row r="52" spans="2:15" ht="15.75" thickBot="1" x14ac:dyDescent="0.3">
      <c r="B52" s="430"/>
      <c r="C52" s="397" t="s">
        <v>223</v>
      </c>
      <c r="D52" s="398"/>
      <c r="E52" s="108" t="s">
        <v>222</v>
      </c>
      <c r="F52" s="109">
        <v>1</v>
      </c>
      <c r="G52" s="110">
        <f>ROUNDUP((G51/F52),0)</f>
        <v>0</v>
      </c>
      <c r="H52" s="428"/>
      <c r="I52" s="394"/>
      <c r="J52" s="394"/>
      <c r="K52" s="396"/>
      <c r="L52" s="100"/>
      <c r="M52" s="390"/>
      <c r="N52" s="391"/>
      <c r="O52" s="392"/>
    </row>
    <row r="53" spans="2:15" ht="15.75" thickBot="1" x14ac:dyDescent="0.3"/>
    <row r="54" spans="2:15" x14ac:dyDescent="0.25">
      <c r="B54" s="431" t="s">
        <v>0</v>
      </c>
      <c r="C54" s="399" t="s">
        <v>19</v>
      </c>
      <c r="D54" s="399" t="s">
        <v>14</v>
      </c>
      <c r="E54" s="399" t="s">
        <v>1</v>
      </c>
      <c r="F54" s="417" t="s">
        <v>20</v>
      </c>
      <c r="G54" s="419" t="s">
        <v>21</v>
      </c>
      <c r="H54" s="401" t="s">
        <v>234</v>
      </c>
      <c r="I54" s="403" t="s">
        <v>232</v>
      </c>
      <c r="J54" s="406" t="s">
        <v>233</v>
      </c>
      <c r="K54" s="409" t="s">
        <v>204</v>
      </c>
      <c r="L54" s="100"/>
      <c r="M54" s="411" t="s">
        <v>31</v>
      </c>
      <c r="N54" s="413" t="s">
        <v>32</v>
      </c>
      <c r="O54" s="414"/>
    </row>
    <row r="55" spans="2:15" x14ac:dyDescent="0.25">
      <c r="B55" s="432"/>
      <c r="C55" s="400"/>
      <c r="D55" s="400"/>
      <c r="E55" s="400"/>
      <c r="F55" s="418"/>
      <c r="G55" s="420"/>
      <c r="H55" s="402"/>
      <c r="I55" s="404"/>
      <c r="J55" s="407"/>
      <c r="K55" s="410"/>
      <c r="L55" s="100"/>
      <c r="M55" s="412"/>
      <c r="N55" s="415"/>
      <c r="O55" s="416"/>
    </row>
    <row r="56" spans="2:15" x14ac:dyDescent="0.25">
      <c r="B56" s="429" t="s">
        <v>245</v>
      </c>
      <c r="C56" s="422" t="s">
        <v>231</v>
      </c>
      <c r="D56" s="423"/>
      <c r="E56" s="423"/>
      <c r="F56" s="423"/>
      <c r="G56" s="111">
        <f>SUM(G57:G66)</f>
        <v>0</v>
      </c>
      <c r="H56" s="402"/>
      <c r="I56" s="405"/>
      <c r="J56" s="408"/>
      <c r="K56" s="410"/>
      <c r="L56" s="100"/>
      <c r="M56" s="412"/>
      <c r="N56" s="415"/>
      <c r="O56" s="416"/>
    </row>
    <row r="57" spans="2:15" x14ac:dyDescent="0.25">
      <c r="B57" s="429"/>
      <c r="C57" s="101" t="s">
        <v>220</v>
      </c>
      <c r="D57" s="102" t="s">
        <v>88</v>
      </c>
      <c r="E57" s="102"/>
      <c r="F57" s="97">
        <v>50</v>
      </c>
      <c r="G57" s="103">
        <f t="shared" ref="G57:G66" si="19">F57*E57</f>
        <v>0</v>
      </c>
      <c r="H57" s="427">
        <v>1.45</v>
      </c>
      <c r="I57" s="97">
        <f>F57*$H$57</f>
        <v>72.5</v>
      </c>
      <c r="J57" s="97">
        <f t="shared" ref="J57:J66" si="20">I57*E57</f>
        <v>0</v>
      </c>
      <c r="K57" s="106">
        <f>J57*1.23</f>
        <v>0</v>
      </c>
      <c r="L57" s="100"/>
      <c r="M57" s="105">
        <f>J57-G57</f>
        <v>0</v>
      </c>
      <c r="N57" s="385" t="e">
        <f>(J57/G57)-100%</f>
        <v>#DIV/0!</v>
      </c>
      <c r="O57" s="386"/>
    </row>
    <row r="58" spans="2:15" x14ac:dyDescent="0.25">
      <c r="B58" s="429"/>
      <c r="C58" s="101" t="s">
        <v>209</v>
      </c>
      <c r="D58" s="102" t="s">
        <v>151</v>
      </c>
      <c r="E58" s="102"/>
      <c r="F58" s="97">
        <v>15</v>
      </c>
      <c r="G58" s="103">
        <f t="shared" si="19"/>
        <v>0</v>
      </c>
      <c r="H58" s="427"/>
      <c r="I58" s="97">
        <f t="shared" ref="I58:I78" si="21">F58*$H$57</f>
        <v>21.75</v>
      </c>
      <c r="J58" s="97">
        <f t="shared" si="20"/>
        <v>0</v>
      </c>
      <c r="K58" s="106">
        <f t="shared" ref="K58:K78" si="22">J58*1.23</f>
        <v>0</v>
      </c>
      <c r="L58" s="100"/>
      <c r="M58" s="105">
        <f t="shared" ref="M58:M66" si="23">J58-G58</f>
        <v>0</v>
      </c>
      <c r="N58" s="385" t="e">
        <f t="shared" ref="N58:N66" si="24">(J58/G58)-100%</f>
        <v>#DIV/0!</v>
      </c>
      <c r="O58" s="386"/>
    </row>
    <row r="59" spans="2:15" x14ac:dyDescent="0.25">
      <c r="B59" s="429"/>
      <c r="C59" s="101" t="s">
        <v>210</v>
      </c>
      <c r="D59" s="102" t="s">
        <v>198</v>
      </c>
      <c r="E59" s="102"/>
      <c r="F59" s="97">
        <v>28.5</v>
      </c>
      <c r="G59" s="103">
        <f t="shared" si="19"/>
        <v>0</v>
      </c>
      <c r="H59" s="427"/>
      <c r="I59" s="97">
        <f t="shared" si="21"/>
        <v>41.324999999999996</v>
      </c>
      <c r="J59" s="97">
        <f t="shared" si="20"/>
        <v>0</v>
      </c>
      <c r="K59" s="106">
        <f t="shared" si="22"/>
        <v>0</v>
      </c>
      <c r="L59" s="100"/>
      <c r="M59" s="105">
        <f t="shared" si="23"/>
        <v>0</v>
      </c>
      <c r="N59" s="385" t="e">
        <f t="shared" si="24"/>
        <v>#DIV/0!</v>
      </c>
      <c r="O59" s="386"/>
    </row>
    <row r="60" spans="2:15" x14ac:dyDescent="0.25">
      <c r="B60" s="429"/>
      <c r="C60" s="101" t="s">
        <v>242</v>
      </c>
      <c r="D60" s="102" t="s">
        <v>198</v>
      </c>
      <c r="E60" s="102"/>
      <c r="F60" s="97">
        <v>50</v>
      </c>
      <c r="G60" s="103">
        <f t="shared" si="19"/>
        <v>0</v>
      </c>
      <c r="H60" s="427"/>
      <c r="I60" s="97">
        <f t="shared" si="21"/>
        <v>72.5</v>
      </c>
      <c r="J60" s="97">
        <f t="shared" si="20"/>
        <v>0</v>
      </c>
      <c r="K60" s="106">
        <f t="shared" si="22"/>
        <v>0</v>
      </c>
      <c r="L60" s="100"/>
      <c r="M60" s="105">
        <f t="shared" si="23"/>
        <v>0</v>
      </c>
      <c r="N60" s="385" t="e">
        <f t="shared" si="24"/>
        <v>#DIV/0!</v>
      </c>
      <c r="O60" s="386"/>
    </row>
    <row r="61" spans="2:15" x14ac:dyDescent="0.25">
      <c r="B61" s="429"/>
      <c r="C61" s="101" t="s">
        <v>243</v>
      </c>
      <c r="D61" s="102" t="s">
        <v>88</v>
      </c>
      <c r="E61" s="102"/>
      <c r="F61" s="97">
        <v>50</v>
      </c>
      <c r="G61" s="103">
        <f t="shared" si="19"/>
        <v>0</v>
      </c>
      <c r="H61" s="427"/>
      <c r="I61" s="97">
        <f t="shared" si="21"/>
        <v>72.5</v>
      </c>
      <c r="J61" s="97">
        <f t="shared" si="20"/>
        <v>0</v>
      </c>
      <c r="K61" s="106">
        <f t="shared" si="22"/>
        <v>0</v>
      </c>
      <c r="L61" s="100"/>
      <c r="M61" s="105">
        <f t="shared" si="23"/>
        <v>0</v>
      </c>
      <c r="N61" s="385" t="e">
        <f t="shared" ref="N61:N62" si="25">(J61/G61)-100%</f>
        <v>#DIV/0!</v>
      </c>
      <c r="O61" s="386"/>
    </row>
    <row r="62" spans="2:15" x14ac:dyDescent="0.25">
      <c r="B62" s="429"/>
      <c r="C62" s="101" t="s">
        <v>244</v>
      </c>
      <c r="D62" s="102" t="s">
        <v>88</v>
      </c>
      <c r="E62" s="102"/>
      <c r="F62" s="97">
        <v>150</v>
      </c>
      <c r="G62" s="103">
        <f t="shared" si="19"/>
        <v>0</v>
      </c>
      <c r="H62" s="427"/>
      <c r="I62" s="97">
        <f t="shared" si="21"/>
        <v>217.5</v>
      </c>
      <c r="J62" s="97">
        <f t="shared" si="20"/>
        <v>0</v>
      </c>
      <c r="K62" s="106">
        <f t="shared" si="22"/>
        <v>0</v>
      </c>
      <c r="L62" s="100"/>
      <c r="M62" s="105">
        <f t="shared" si="23"/>
        <v>0</v>
      </c>
      <c r="N62" s="385" t="e">
        <f t="shared" si="25"/>
        <v>#DIV/0!</v>
      </c>
      <c r="O62" s="386"/>
    </row>
    <row r="63" spans="2:15" x14ac:dyDescent="0.25">
      <c r="B63" s="429"/>
      <c r="C63" s="101" t="s">
        <v>211</v>
      </c>
      <c r="D63" s="102" t="s">
        <v>92</v>
      </c>
      <c r="E63" s="102"/>
      <c r="F63" s="97">
        <v>17</v>
      </c>
      <c r="G63" s="103">
        <f t="shared" si="19"/>
        <v>0</v>
      </c>
      <c r="H63" s="427"/>
      <c r="I63" s="97">
        <f t="shared" si="21"/>
        <v>24.65</v>
      </c>
      <c r="J63" s="97">
        <f t="shared" si="20"/>
        <v>0</v>
      </c>
      <c r="K63" s="106">
        <f t="shared" si="22"/>
        <v>0</v>
      </c>
      <c r="L63" s="100"/>
      <c r="M63" s="105">
        <f t="shared" si="23"/>
        <v>0</v>
      </c>
      <c r="N63" s="385" t="e">
        <f t="shared" si="24"/>
        <v>#DIV/0!</v>
      </c>
      <c r="O63" s="386"/>
    </row>
    <row r="64" spans="2:15" x14ac:dyDescent="0.25">
      <c r="B64" s="429"/>
      <c r="C64" s="101" t="s">
        <v>228</v>
      </c>
      <c r="D64" s="102" t="s">
        <v>92</v>
      </c>
      <c r="E64" s="102"/>
      <c r="F64" s="97">
        <v>12</v>
      </c>
      <c r="G64" s="103">
        <f t="shared" si="19"/>
        <v>0</v>
      </c>
      <c r="H64" s="427"/>
      <c r="I64" s="97">
        <f t="shared" si="21"/>
        <v>17.399999999999999</v>
      </c>
      <c r="J64" s="97">
        <f t="shared" si="20"/>
        <v>0</v>
      </c>
      <c r="K64" s="106">
        <f t="shared" si="22"/>
        <v>0</v>
      </c>
      <c r="L64" s="100"/>
      <c r="M64" s="105">
        <f t="shared" si="23"/>
        <v>0</v>
      </c>
      <c r="N64" s="385" t="e">
        <f t="shared" si="24"/>
        <v>#DIV/0!</v>
      </c>
      <c r="O64" s="386"/>
    </row>
    <row r="65" spans="2:15" x14ac:dyDescent="0.25">
      <c r="B65" s="429"/>
      <c r="C65" s="101" t="s">
        <v>218</v>
      </c>
      <c r="D65" s="102" t="s">
        <v>88</v>
      </c>
      <c r="E65" s="102"/>
      <c r="F65" s="97">
        <v>20</v>
      </c>
      <c r="G65" s="103">
        <f t="shared" si="19"/>
        <v>0</v>
      </c>
      <c r="H65" s="427"/>
      <c r="I65" s="97">
        <f t="shared" si="21"/>
        <v>29</v>
      </c>
      <c r="J65" s="97">
        <f t="shared" si="20"/>
        <v>0</v>
      </c>
      <c r="K65" s="106">
        <f t="shared" si="22"/>
        <v>0</v>
      </c>
      <c r="L65" s="100"/>
      <c r="M65" s="105">
        <f t="shared" si="23"/>
        <v>0</v>
      </c>
      <c r="N65" s="385" t="e">
        <f t="shared" si="24"/>
        <v>#DIV/0!</v>
      </c>
      <c r="O65" s="386"/>
    </row>
    <row r="66" spans="2:15" x14ac:dyDescent="0.25">
      <c r="B66" s="429"/>
      <c r="C66" s="101" t="s">
        <v>226</v>
      </c>
      <c r="D66" s="102" t="s">
        <v>88</v>
      </c>
      <c r="E66" s="102"/>
      <c r="F66" s="97">
        <v>20</v>
      </c>
      <c r="G66" s="103">
        <f t="shared" si="19"/>
        <v>0</v>
      </c>
      <c r="H66" s="427"/>
      <c r="I66" s="97">
        <f t="shared" si="21"/>
        <v>29</v>
      </c>
      <c r="J66" s="97">
        <f t="shared" si="20"/>
        <v>0</v>
      </c>
      <c r="K66" s="106">
        <f t="shared" si="22"/>
        <v>0</v>
      </c>
      <c r="L66" s="100"/>
      <c r="M66" s="105">
        <f t="shared" si="23"/>
        <v>0</v>
      </c>
      <c r="N66" s="385" t="e">
        <f t="shared" si="24"/>
        <v>#DIV/0!</v>
      </c>
      <c r="O66" s="386"/>
    </row>
    <row r="67" spans="2:15" x14ac:dyDescent="0.25">
      <c r="B67" s="429"/>
      <c r="C67" s="422" t="s">
        <v>230</v>
      </c>
      <c r="D67" s="423"/>
      <c r="E67" s="423"/>
      <c r="F67" s="423"/>
      <c r="G67" s="111">
        <f>SUM(G68:G78)</f>
        <v>0</v>
      </c>
      <c r="H67" s="427"/>
      <c r="I67" s="99"/>
      <c r="J67" s="98"/>
      <c r="K67" s="107"/>
      <c r="L67" s="100"/>
      <c r="M67" s="424"/>
      <c r="N67" s="425"/>
      <c r="O67" s="426"/>
    </row>
    <row r="68" spans="2:15" x14ac:dyDescent="0.25">
      <c r="B68" s="429"/>
      <c r="C68" s="101" t="s">
        <v>227</v>
      </c>
      <c r="D68" s="102" t="s">
        <v>92</v>
      </c>
      <c r="E68" s="102"/>
      <c r="F68" s="97">
        <v>17</v>
      </c>
      <c r="G68" s="103">
        <f t="shared" ref="G68:G78" si="26">F68*E68</f>
        <v>0</v>
      </c>
      <c r="H68" s="427"/>
      <c r="I68" s="97">
        <f t="shared" si="21"/>
        <v>24.65</v>
      </c>
      <c r="J68" s="97">
        <f t="shared" ref="J68:J78" si="27">I68*E68</f>
        <v>0</v>
      </c>
      <c r="K68" s="106">
        <f t="shared" si="22"/>
        <v>0</v>
      </c>
      <c r="L68" s="100"/>
      <c r="M68" s="105">
        <f t="shared" ref="M68:M78" si="28">J68-G68</f>
        <v>0</v>
      </c>
      <c r="N68" s="385" t="e">
        <f t="shared" ref="N68:N78" si="29">(J68/G68)-100%</f>
        <v>#DIV/0!</v>
      </c>
      <c r="O68" s="386"/>
    </row>
    <row r="69" spans="2:15" x14ac:dyDescent="0.25">
      <c r="B69" s="429"/>
      <c r="C69" s="101" t="s">
        <v>229</v>
      </c>
      <c r="D69" s="102" t="s">
        <v>92</v>
      </c>
      <c r="E69" s="102"/>
      <c r="F69" s="97">
        <v>12</v>
      </c>
      <c r="G69" s="103">
        <f t="shared" si="26"/>
        <v>0</v>
      </c>
      <c r="H69" s="427"/>
      <c r="I69" s="97">
        <f t="shared" si="21"/>
        <v>17.399999999999999</v>
      </c>
      <c r="J69" s="97">
        <f t="shared" si="27"/>
        <v>0</v>
      </c>
      <c r="K69" s="106">
        <f t="shared" si="22"/>
        <v>0</v>
      </c>
      <c r="L69" s="100"/>
      <c r="M69" s="105">
        <f t="shared" si="28"/>
        <v>0</v>
      </c>
      <c r="N69" s="385" t="e">
        <f t="shared" si="29"/>
        <v>#DIV/0!</v>
      </c>
      <c r="O69" s="386"/>
    </row>
    <row r="70" spans="2:15" x14ac:dyDescent="0.25">
      <c r="B70" s="429"/>
      <c r="C70" s="101" t="s">
        <v>213</v>
      </c>
      <c r="D70" s="102" t="s">
        <v>198</v>
      </c>
      <c r="E70" s="102"/>
      <c r="F70" s="97">
        <v>28.5</v>
      </c>
      <c r="G70" s="103">
        <f t="shared" si="26"/>
        <v>0</v>
      </c>
      <c r="H70" s="427"/>
      <c r="I70" s="97">
        <f t="shared" si="21"/>
        <v>41.324999999999996</v>
      </c>
      <c r="J70" s="97">
        <f t="shared" si="27"/>
        <v>0</v>
      </c>
      <c r="K70" s="106">
        <f t="shared" si="22"/>
        <v>0</v>
      </c>
      <c r="L70" s="100"/>
      <c r="M70" s="105">
        <f t="shared" si="28"/>
        <v>0</v>
      </c>
      <c r="N70" s="385" t="e">
        <f t="shared" si="29"/>
        <v>#DIV/0!</v>
      </c>
      <c r="O70" s="386"/>
    </row>
    <row r="71" spans="2:15" x14ac:dyDescent="0.25">
      <c r="B71" s="429"/>
      <c r="C71" s="101" t="s">
        <v>214</v>
      </c>
      <c r="D71" s="102" t="s">
        <v>151</v>
      </c>
      <c r="E71" s="102"/>
      <c r="F71" s="97">
        <v>12</v>
      </c>
      <c r="G71" s="103">
        <f t="shared" si="26"/>
        <v>0</v>
      </c>
      <c r="H71" s="427"/>
      <c r="I71" s="97">
        <f t="shared" si="21"/>
        <v>17.399999999999999</v>
      </c>
      <c r="J71" s="97">
        <f t="shared" si="27"/>
        <v>0</v>
      </c>
      <c r="K71" s="106">
        <f t="shared" si="22"/>
        <v>0</v>
      </c>
      <c r="L71" s="100"/>
      <c r="M71" s="105">
        <f t="shared" si="28"/>
        <v>0</v>
      </c>
      <c r="N71" s="385" t="e">
        <f t="shared" si="29"/>
        <v>#DIV/0!</v>
      </c>
      <c r="O71" s="386"/>
    </row>
    <row r="72" spans="2:15" x14ac:dyDescent="0.25">
      <c r="B72" s="429"/>
      <c r="C72" s="101" t="s">
        <v>215</v>
      </c>
      <c r="D72" s="102" t="s">
        <v>151</v>
      </c>
      <c r="E72" s="102"/>
      <c r="F72" s="97">
        <v>40</v>
      </c>
      <c r="G72" s="103">
        <f t="shared" si="26"/>
        <v>0</v>
      </c>
      <c r="H72" s="427"/>
      <c r="I72" s="97">
        <f t="shared" si="21"/>
        <v>58</v>
      </c>
      <c r="J72" s="97">
        <f t="shared" si="27"/>
        <v>0</v>
      </c>
      <c r="K72" s="106">
        <f t="shared" si="22"/>
        <v>0</v>
      </c>
      <c r="L72" s="100"/>
      <c r="M72" s="105">
        <f t="shared" si="28"/>
        <v>0</v>
      </c>
      <c r="N72" s="385" t="e">
        <f t="shared" si="29"/>
        <v>#DIV/0!</v>
      </c>
      <c r="O72" s="386"/>
    </row>
    <row r="73" spans="2:15" x14ac:dyDescent="0.25">
      <c r="B73" s="429"/>
      <c r="C73" s="101" t="s">
        <v>221</v>
      </c>
      <c r="D73" s="102" t="s">
        <v>88</v>
      </c>
      <c r="E73" s="102"/>
      <c r="F73" s="97">
        <v>50</v>
      </c>
      <c r="G73" s="103">
        <f t="shared" si="26"/>
        <v>0</v>
      </c>
      <c r="H73" s="427"/>
      <c r="I73" s="97">
        <f t="shared" si="21"/>
        <v>72.5</v>
      </c>
      <c r="J73" s="97">
        <f t="shared" si="27"/>
        <v>0</v>
      </c>
      <c r="K73" s="106">
        <f t="shared" si="22"/>
        <v>0</v>
      </c>
      <c r="L73" s="100"/>
      <c r="M73" s="105">
        <f t="shared" si="28"/>
        <v>0</v>
      </c>
      <c r="N73" s="385" t="e">
        <f t="shared" si="29"/>
        <v>#DIV/0!</v>
      </c>
      <c r="O73" s="386"/>
    </row>
    <row r="74" spans="2:15" x14ac:dyDescent="0.25">
      <c r="B74" s="429"/>
      <c r="C74" s="101" t="s">
        <v>216</v>
      </c>
      <c r="D74" s="102" t="s">
        <v>92</v>
      </c>
      <c r="E74" s="102"/>
      <c r="F74" s="97">
        <v>12</v>
      </c>
      <c r="G74" s="103">
        <f t="shared" si="26"/>
        <v>0</v>
      </c>
      <c r="H74" s="427"/>
      <c r="I74" s="97">
        <f t="shared" si="21"/>
        <v>17.399999999999999</v>
      </c>
      <c r="J74" s="97">
        <f t="shared" si="27"/>
        <v>0</v>
      </c>
      <c r="K74" s="106">
        <f t="shared" si="22"/>
        <v>0</v>
      </c>
      <c r="L74" s="100"/>
      <c r="M74" s="105">
        <f t="shared" si="28"/>
        <v>0</v>
      </c>
      <c r="N74" s="385" t="e">
        <f t="shared" si="29"/>
        <v>#DIV/0!</v>
      </c>
      <c r="O74" s="386"/>
    </row>
    <row r="75" spans="2:15" x14ac:dyDescent="0.25">
      <c r="B75" s="429"/>
      <c r="C75" s="101" t="s">
        <v>217</v>
      </c>
      <c r="D75" s="102" t="s">
        <v>92</v>
      </c>
      <c r="E75" s="102"/>
      <c r="F75" s="97">
        <v>12</v>
      </c>
      <c r="G75" s="103">
        <f t="shared" si="26"/>
        <v>0</v>
      </c>
      <c r="H75" s="427"/>
      <c r="I75" s="97">
        <f t="shared" si="21"/>
        <v>17.399999999999999</v>
      </c>
      <c r="J75" s="97">
        <f t="shared" si="27"/>
        <v>0</v>
      </c>
      <c r="K75" s="106">
        <f t="shared" si="22"/>
        <v>0</v>
      </c>
      <c r="L75" s="100"/>
      <c r="M75" s="105">
        <f t="shared" si="28"/>
        <v>0</v>
      </c>
      <c r="N75" s="385" t="e">
        <f t="shared" si="29"/>
        <v>#DIV/0!</v>
      </c>
      <c r="O75" s="386"/>
    </row>
    <row r="76" spans="2:15" x14ac:dyDescent="0.25">
      <c r="B76" s="429"/>
      <c r="C76" s="101" t="s">
        <v>218</v>
      </c>
      <c r="D76" s="102" t="s">
        <v>88</v>
      </c>
      <c r="E76" s="102"/>
      <c r="F76" s="97">
        <v>20</v>
      </c>
      <c r="G76" s="103">
        <f t="shared" si="26"/>
        <v>0</v>
      </c>
      <c r="H76" s="427"/>
      <c r="I76" s="97">
        <f t="shared" si="21"/>
        <v>29</v>
      </c>
      <c r="J76" s="97">
        <f t="shared" si="27"/>
        <v>0</v>
      </c>
      <c r="K76" s="106">
        <f t="shared" si="22"/>
        <v>0</v>
      </c>
      <c r="L76" s="100"/>
      <c r="M76" s="105">
        <f t="shared" si="28"/>
        <v>0</v>
      </c>
      <c r="N76" s="385" t="e">
        <f t="shared" si="29"/>
        <v>#DIV/0!</v>
      </c>
      <c r="O76" s="386"/>
    </row>
    <row r="77" spans="2:15" x14ac:dyDescent="0.25">
      <c r="B77" s="429"/>
      <c r="C77" s="101" t="s">
        <v>219</v>
      </c>
      <c r="D77" s="102" t="s">
        <v>88</v>
      </c>
      <c r="E77" s="102"/>
      <c r="F77" s="97">
        <v>20</v>
      </c>
      <c r="G77" s="103">
        <f t="shared" si="26"/>
        <v>0</v>
      </c>
      <c r="H77" s="427"/>
      <c r="I77" s="97">
        <f t="shared" si="21"/>
        <v>29</v>
      </c>
      <c r="J77" s="97">
        <f t="shared" si="27"/>
        <v>0</v>
      </c>
      <c r="K77" s="106">
        <f t="shared" si="22"/>
        <v>0</v>
      </c>
      <c r="L77" s="100"/>
      <c r="M77" s="105">
        <f t="shared" si="28"/>
        <v>0</v>
      </c>
      <c r="N77" s="385" t="e">
        <f t="shared" si="29"/>
        <v>#DIV/0!</v>
      </c>
      <c r="O77" s="386"/>
    </row>
    <row r="78" spans="2:15" x14ac:dyDescent="0.25">
      <c r="B78" s="429"/>
      <c r="C78" s="101" t="s">
        <v>226</v>
      </c>
      <c r="D78" s="102" t="s">
        <v>88</v>
      </c>
      <c r="E78" s="102"/>
      <c r="F78" s="97">
        <v>20</v>
      </c>
      <c r="G78" s="103">
        <f t="shared" si="26"/>
        <v>0</v>
      </c>
      <c r="H78" s="427"/>
      <c r="I78" s="97">
        <f t="shared" si="21"/>
        <v>29</v>
      </c>
      <c r="J78" s="97">
        <f t="shared" si="27"/>
        <v>0</v>
      </c>
      <c r="K78" s="106">
        <f t="shared" si="22"/>
        <v>0</v>
      </c>
      <c r="L78" s="100"/>
      <c r="M78" s="105">
        <f t="shared" si="28"/>
        <v>0</v>
      </c>
      <c r="N78" s="385" t="e">
        <f t="shared" si="29"/>
        <v>#DIV/0!</v>
      </c>
      <c r="O78" s="386"/>
    </row>
    <row r="79" spans="2:15" x14ac:dyDescent="0.25">
      <c r="B79" s="429"/>
      <c r="C79" s="421" t="s">
        <v>25</v>
      </c>
      <c r="D79" s="421"/>
      <c r="E79" s="421"/>
      <c r="F79" s="421"/>
      <c r="G79" s="104">
        <f>SUM(G57:G66,G68:G78)</f>
        <v>0</v>
      </c>
      <c r="H79" s="427"/>
      <c r="I79" s="393" t="s">
        <v>25</v>
      </c>
      <c r="J79" s="393">
        <f>SUM(J57:J78)</f>
        <v>0</v>
      </c>
      <c r="K79" s="395">
        <f>SUM(K57:K78)</f>
        <v>0</v>
      </c>
      <c r="L79" s="100"/>
      <c r="M79" s="387">
        <f>SUM(M57:M78)</f>
        <v>0</v>
      </c>
      <c r="N79" s="388"/>
      <c r="O79" s="389"/>
    </row>
    <row r="80" spans="2:15" ht="15.75" thickBot="1" x14ac:dyDescent="0.3">
      <c r="B80" s="430"/>
      <c r="C80" s="397" t="s">
        <v>223</v>
      </c>
      <c r="D80" s="398"/>
      <c r="E80" s="108" t="s">
        <v>222</v>
      </c>
      <c r="F80" s="109">
        <v>1</v>
      </c>
      <c r="G80" s="110">
        <f>ROUNDUP((G79/F80),0)</f>
        <v>0</v>
      </c>
      <c r="H80" s="428"/>
      <c r="I80" s="394"/>
      <c r="J80" s="394"/>
      <c r="K80" s="396"/>
      <c r="L80" s="100"/>
      <c r="M80" s="390"/>
      <c r="N80" s="391"/>
      <c r="O80" s="392"/>
    </row>
    <row r="81" spans="2:15" ht="15.75" thickBot="1" x14ac:dyDescent="0.3"/>
    <row r="82" spans="2:15" x14ac:dyDescent="0.25">
      <c r="B82" s="431" t="s">
        <v>0</v>
      </c>
      <c r="C82" s="399" t="s">
        <v>19</v>
      </c>
      <c r="D82" s="399" t="s">
        <v>14</v>
      </c>
      <c r="E82" s="399" t="s">
        <v>1</v>
      </c>
      <c r="F82" s="417" t="s">
        <v>20</v>
      </c>
      <c r="G82" s="419" t="s">
        <v>21</v>
      </c>
      <c r="H82" s="401" t="s">
        <v>234</v>
      </c>
      <c r="I82" s="403" t="s">
        <v>232</v>
      </c>
      <c r="J82" s="406" t="s">
        <v>233</v>
      </c>
      <c r="K82" s="409" t="s">
        <v>204</v>
      </c>
      <c r="L82" s="100"/>
      <c r="M82" s="411" t="s">
        <v>31</v>
      </c>
      <c r="N82" s="413" t="s">
        <v>32</v>
      </c>
      <c r="O82" s="414"/>
    </row>
    <row r="83" spans="2:15" x14ac:dyDescent="0.25">
      <c r="B83" s="432"/>
      <c r="C83" s="400"/>
      <c r="D83" s="400"/>
      <c r="E83" s="400"/>
      <c r="F83" s="418"/>
      <c r="G83" s="420"/>
      <c r="H83" s="402"/>
      <c r="I83" s="404"/>
      <c r="J83" s="407"/>
      <c r="K83" s="410"/>
      <c r="L83" s="100"/>
      <c r="M83" s="412"/>
      <c r="N83" s="415"/>
      <c r="O83" s="416"/>
    </row>
    <row r="84" spans="2:15" x14ac:dyDescent="0.25">
      <c r="B84" s="429" t="s">
        <v>258</v>
      </c>
      <c r="C84" s="422" t="s">
        <v>231</v>
      </c>
      <c r="D84" s="423"/>
      <c r="E84" s="423"/>
      <c r="F84" s="423"/>
      <c r="G84" s="111">
        <f>SUM(G85:G94)</f>
        <v>0</v>
      </c>
      <c r="H84" s="402"/>
      <c r="I84" s="405"/>
      <c r="J84" s="408"/>
      <c r="K84" s="410"/>
      <c r="L84" s="100"/>
      <c r="M84" s="412"/>
      <c r="N84" s="415"/>
      <c r="O84" s="416"/>
    </row>
    <row r="85" spans="2:15" x14ac:dyDescent="0.25">
      <c r="B85" s="429"/>
      <c r="C85" s="101" t="s">
        <v>220</v>
      </c>
      <c r="D85" s="102" t="s">
        <v>88</v>
      </c>
      <c r="E85" s="102"/>
      <c r="F85" s="97">
        <v>50</v>
      </c>
      <c r="G85" s="103">
        <f t="shared" ref="G85:G98" si="30">F85*E85</f>
        <v>0</v>
      </c>
      <c r="H85" s="427">
        <v>1.45</v>
      </c>
      <c r="I85" s="97">
        <f>F85*$H$85</f>
        <v>72.5</v>
      </c>
      <c r="J85" s="97">
        <f t="shared" ref="J85:J94" si="31">I85*E85</f>
        <v>0</v>
      </c>
      <c r="K85" s="106">
        <f>J85*1.23</f>
        <v>0</v>
      </c>
      <c r="L85" s="100"/>
      <c r="M85" s="105">
        <f>J85-G85</f>
        <v>0</v>
      </c>
      <c r="N85" s="385" t="e">
        <f>(J85/G85)-100%</f>
        <v>#DIV/0!</v>
      </c>
      <c r="O85" s="386"/>
    </row>
    <row r="86" spans="2:15" x14ac:dyDescent="0.25">
      <c r="B86" s="429"/>
      <c r="C86" s="101" t="s">
        <v>209</v>
      </c>
      <c r="D86" s="102" t="s">
        <v>151</v>
      </c>
      <c r="E86" s="102"/>
      <c r="F86" s="97">
        <v>15</v>
      </c>
      <c r="G86" s="103">
        <f t="shared" si="30"/>
        <v>0</v>
      </c>
      <c r="H86" s="427"/>
      <c r="I86" s="97">
        <f t="shared" ref="I86:I94" si="32">F86*$H$85</f>
        <v>21.75</v>
      </c>
      <c r="J86" s="97">
        <f t="shared" si="31"/>
        <v>0</v>
      </c>
      <c r="K86" s="106">
        <f t="shared" ref="K86:K98" si="33">J86*1.23</f>
        <v>0</v>
      </c>
      <c r="L86" s="100"/>
      <c r="M86" s="105">
        <f t="shared" ref="M86:M98" si="34">J86-G86</f>
        <v>0</v>
      </c>
      <c r="N86" s="385" t="e">
        <f t="shared" ref="N86:N94" si="35">(J86/G86)-100%</f>
        <v>#DIV/0!</v>
      </c>
      <c r="O86" s="386"/>
    </row>
    <row r="87" spans="2:15" x14ac:dyDescent="0.25">
      <c r="B87" s="429"/>
      <c r="C87" s="101" t="s">
        <v>246</v>
      </c>
      <c r="D87" s="102" t="s">
        <v>151</v>
      </c>
      <c r="E87" s="102"/>
      <c r="F87" s="97">
        <v>20</v>
      </c>
      <c r="G87" s="103">
        <f t="shared" si="30"/>
        <v>0</v>
      </c>
      <c r="H87" s="427"/>
      <c r="I87" s="97">
        <f t="shared" si="32"/>
        <v>29</v>
      </c>
      <c r="J87" s="97">
        <f t="shared" si="31"/>
        <v>0</v>
      </c>
      <c r="K87" s="106">
        <f t="shared" si="33"/>
        <v>0</v>
      </c>
      <c r="L87" s="100"/>
      <c r="M87" s="105">
        <f t="shared" si="34"/>
        <v>0</v>
      </c>
      <c r="N87" s="385" t="e">
        <f t="shared" si="35"/>
        <v>#DIV/0!</v>
      </c>
      <c r="O87" s="386"/>
    </row>
    <row r="88" spans="2:15" x14ac:dyDescent="0.25">
      <c r="B88" s="429"/>
      <c r="C88" s="101" t="s">
        <v>247</v>
      </c>
      <c r="D88" s="102" t="s">
        <v>88</v>
      </c>
      <c r="E88" s="102"/>
      <c r="F88" s="97">
        <v>50</v>
      </c>
      <c r="G88" s="103">
        <f t="shared" si="30"/>
        <v>0</v>
      </c>
      <c r="H88" s="427"/>
      <c r="I88" s="97">
        <f t="shared" si="32"/>
        <v>72.5</v>
      </c>
      <c r="J88" s="97">
        <f t="shared" si="31"/>
        <v>0</v>
      </c>
      <c r="K88" s="106">
        <f t="shared" si="33"/>
        <v>0</v>
      </c>
      <c r="L88" s="100"/>
      <c r="M88" s="105">
        <f t="shared" si="34"/>
        <v>0</v>
      </c>
      <c r="N88" s="385" t="e">
        <f t="shared" si="35"/>
        <v>#DIV/0!</v>
      </c>
      <c r="O88" s="386"/>
    </row>
    <row r="89" spans="2:15" x14ac:dyDescent="0.25">
      <c r="B89" s="429"/>
      <c r="C89" s="101" t="s">
        <v>248</v>
      </c>
      <c r="D89" s="102" t="s">
        <v>151</v>
      </c>
      <c r="E89" s="102"/>
      <c r="F89" s="97">
        <v>50</v>
      </c>
      <c r="G89" s="103">
        <f t="shared" si="30"/>
        <v>0</v>
      </c>
      <c r="H89" s="427"/>
      <c r="I89" s="97">
        <f t="shared" si="32"/>
        <v>72.5</v>
      </c>
      <c r="J89" s="97">
        <f t="shared" si="31"/>
        <v>0</v>
      </c>
      <c r="K89" s="106">
        <f t="shared" si="33"/>
        <v>0</v>
      </c>
      <c r="L89" s="100"/>
      <c r="M89" s="105">
        <f t="shared" si="34"/>
        <v>0</v>
      </c>
      <c r="N89" s="385" t="e">
        <f t="shared" si="35"/>
        <v>#DIV/0!</v>
      </c>
      <c r="O89" s="386"/>
    </row>
    <row r="90" spans="2:15" x14ac:dyDescent="0.25">
      <c r="B90" s="429"/>
      <c r="C90" s="101" t="s">
        <v>249</v>
      </c>
      <c r="D90" s="102" t="s">
        <v>88</v>
      </c>
      <c r="E90" s="102"/>
      <c r="F90" s="97">
        <v>30</v>
      </c>
      <c r="G90" s="103">
        <f t="shared" si="30"/>
        <v>0</v>
      </c>
      <c r="H90" s="427"/>
      <c r="I90" s="97">
        <f t="shared" si="32"/>
        <v>43.5</v>
      </c>
      <c r="J90" s="97">
        <f t="shared" si="31"/>
        <v>0</v>
      </c>
      <c r="K90" s="106">
        <f t="shared" si="33"/>
        <v>0</v>
      </c>
      <c r="L90" s="100"/>
      <c r="M90" s="105">
        <f t="shared" si="34"/>
        <v>0</v>
      </c>
      <c r="N90" s="385" t="e">
        <f t="shared" si="35"/>
        <v>#DIV/0!</v>
      </c>
      <c r="O90" s="386"/>
    </row>
    <row r="91" spans="2:15" x14ac:dyDescent="0.25">
      <c r="B91" s="429"/>
      <c r="C91" s="101" t="s">
        <v>250</v>
      </c>
      <c r="D91" s="102" t="s">
        <v>92</v>
      </c>
      <c r="E91" s="102"/>
      <c r="F91" s="97">
        <v>17</v>
      </c>
      <c r="G91" s="103">
        <f t="shared" si="30"/>
        <v>0</v>
      </c>
      <c r="H91" s="427"/>
      <c r="I91" s="97">
        <f t="shared" si="32"/>
        <v>24.65</v>
      </c>
      <c r="J91" s="97">
        <f t="shared" si="31"/>
        <v>0</v>
      </c>
      <c r="K91" s="106">
        <f t="shared" si="33"/>
        <v>0</v>
      </c>
      <c r="L91" s="100"/>
      <c r="M91" s="105">
        <f t="shared" si="34"/>
        <v>0</v>
      </c>
      <c r="N91" s="385" t="e">
        <f t="shared" si="35"/>
        <v>#DIV/0!</v>
      </c>
      <c r="O91" s="386"/>
    </row>
    <row r="92" spans="2:15" x14ac:dyDescent="0.25">
      <c r="B92" s="429"/>
      <c r="C92" s="101" t="s">
        <v>212</v>
      </c>
      <c r="D92" s="102" t="s">
        <v>92</v>
      </c>
      <c r="E92" s="102"/>
      <c r="F92" s="97">
        <v>12</v>
      </c>
      <c r="G92" s="103">
        <f t="shared" si="30"/>
        <v>0</v>
      </c>
      <c r="H92" s="427"/>
      <c r="I92" s="97">
        <f t="shared" si="32"/>
        <v>17.399999999999999</v>
      </c>
      <c r="J92" s="97">
        <f t="shared" si="31"/>
        <v>0</v>
      </c>
      <c r="K92" s="106">
        <f t="shared" si="33"/>
        <v>0</v>
      </c>
      <c r="L92" s="100"/>
      <c r="M92" s="105">
        <f t="shared" si="34"/>
        <v>0</v>
      </c>
      <c r="N92" s="385" t="e">
        <f t="shared" si="35"/>
        <v>#DIV/0!</v>
      </c>
      <c r="O92" s="386"/>
    </row>
    <row r="93" spans="2:15" x14ac:dyDescent="0.25">
      <c r="B93" s="429"/>
      <c r="C93" s="101" t="s">
        <v>221</v>
      </c>
      <c r="D93" s="102" t="s">
        <v>88</v>
      </c>
      <c r="E93" s="102"/>
      <c r="F93" s="97">
        <v>20</v>
      </c>
      <c r="G93" s="103">
        <f t="shared" si="30"/>
        <v>0</v>
      </c>
      <c r="H93" s="427"/>
      <c r="I93" s="97">
        <f t="shared" si="32"/>
        <v>29</v>
      </c>
      <c r="J93" s="97">
        <f t="shared" si="31"/>
        <v>0</v>
      </c>
      <c r="K93" s="106">
        <f t="shared" si="33"/>
        <v>0</v>
      </c>
      <c r="L93" s="100"/>
      <c r="M93" s="105">
        <f t="shared" si="34"/>
        <v>0</v>
      </c>
      <c r="N93" s="385" t="e">
        <f t="shared" si="35"/>
        <v>#DIV/0!</v>
      </c>
      <c r="O93" s="386"/>
    </row>
    <row r="94" spans="2:15" x14ac:dyDescent="0.25">
      <c r="B94" s="429"/>
      <c r="C94" s="101" t="s">
        <v>216</v>
      </c>
      <c r="D94" s="102" t="s">
        <v>88</v>
      </c>
      <c r="E94" s="102"/>
      <c r="F94" s="97">
        <v>20</v>
      </c>
      <c r="G94" s="103">
        <f t="shared" si="30"/>
        <v>0</v>
      </c>
      <c r="H94" s="427"/>
      <c r="I94" s="97">
        <f t="shared" si="32"/>
        <v>29</v>
      </c>
      <c r="J94" s="97">
        <f t="shared" si="31"/>
        <v>0</v>
      </c>
      <c r="K94" s="106">
        <f t="shared" si="33"/>
        <v>0</v>
      </c>
      <c r="L94" s="100"/>
      <c r="M94" s="105">
        <f t="shared" si="34"/>
        <v>0</v>
      </c>
      <c r="N94" s="385" t="e">
        <f t="shared" si="35"/>
        <v>#DIV/0!</v>
      </c>
      <c r="O94" s="386"/>
    </row>
    <row r="95" spans="2:15" x14ac:dyDescent="0.25">
      <c r="B95" s="429"/>
      <c r="C95" s="101" t="s">
        <v>217</v>
      </c>
      <c r="D95" s="102" t="s">
        <v>88</v>
      </c>
      <c r="E95" s="102"/>
      <c r="F95" s="97">
        <v>20</v>
      </c>
      <c r="G95" s="103">
        <f t="shared" si="30"/>
        <v>0</v>
      </c>
      <c r="H95" s="427"/>
      <c r="I95" s="97">
        <f t="shared" ref="I95:I98" si="36">F95*$H$85</f>
        <v>29</v>
      </c>
      <c r="J95" s="97">
        <f t="shared" ref="J95:J98" si="37">I95*E95</f>
        <v>0</v>
      </c>
      <c r="K95" s="106">
        <f t="shared" si="33"/>
        <v>0</v>
      </c>
      <c r="L95" s="100"/>
      <c r="M95" s="105">
        <f t="shared" si="34"/>
        <v>0</v>
      </c>
      <c r="N95" s="385" t="e">
        <f t="shared" ref="N95:N98" si="38">(J95/G95)-100%</f>
        <v>#DIV/0!</v>
      </c>
      <c r="O95" s="386"/>
    </row>
    <row r="96" spans="2:15" x14ac:dyDescent="0.25">
      <c r="B96" s="429"/>
      <c r="C96" s="101" t="s">
        <v>218</v>
      </c>
      <c r="D96" s="102" t="s">
        <v>88</v>
      </c>
      <c r="E96" s="102"/>
      <c r="F96" s="97">
        <v>40</v>
      </c>
      <c r="G96" s="103">
        <f t="shared" si="30"/>
        <v>0</v>
      </c>
      <c r="H96" s="427"/>
      <c r="I96" s="97">
        <f t="shared" si="36"/>
        <v>58</v>
      </c>
      <c r="J96" s="97">
        <f t="shared" si="37"/>
        <v>0</v>
      </c>
      <c r="K96" s="106">
        <f t="shared" si="33"/>
        <v>0</v>
      </c>
      <c r="L96" s="100"/>
      <c r="M96" s="105">
        <f t="shared" si="34"/>
        <v>0</v>
      </c>
      <c r="N96" s="385" t="e">
        <f t="shared" si="38"/>
        <v>#DIV/0!</v>
      </c>
      <c r="O96" s="386"/>
    </row>
    <row r="97" spans="2:15" x14ac:dyDescent="0.25">
      <c r="B97" s="429"/>
      <c r="C97" s="101" t="s">
        <v>219</v>
      </c>
      <c r="D97" s="102" t="s">
        <v>88</v>
      </c>
      <c r="E97" s="102"/>
      <c r="F97" s="97">
        <v>20</v>
      </c>
      <c r="G97" s="103">
        <f t="shared" si="30"/>
        <v>0</v>
      </c>
      <c r="H97" s="427"/>
      <c r="I97" s="97">
        <f t="shared" si="36"/>
        <v>29</v>
      </c>
      <c r="J97" s="97">
        <f t="shared" si="37"/>
        <v>0</v>
      </c>
      <c r="K97" s="106">
        <f t="shared" si="33"/>
        <v>0</v>
      </c>
      <c r="L97" s="100"/>
      <c r="M97" s="105">
        <f t="shared" si="34"/>
        <v>0</v>
      </c>
      <c r="N97" s="385" t="e">
        <f t="shared" si="38"/>
        <v>#DIV/0!</v>
      </c>
      <c r="O97" s="386"/>
    </row>
    <row r="98" spans="2:15" x14ac:dyDescent="0.25">
      <c r="B98" s="429"/>
      <c r="C98" s="101" t="s">
        <v>226</v>
      </c>
      <c r="D98" s="102" t="s">
        <v>88</v>
      </c>
      <c r="E98" s="102"/>
      <c r="F98" s="97">
        <v>20</v>
      </c>
      <c r="G98" s="103">
        <f t="shared" si="30"/>
        <v>0</v>
      </c>
      <c r="H98" s="427"/>
      <c r="I98" s="97">
        <f t="shared" si="36"/>
        <v>29</v>
      </c>
      <c r="J98" s="97">
        <f t="shared" si="37"/>
        <v>0</v>
      </c>
      <c r="K98" s="106">
        <f t="shared" si="33"/>
        <v>0</v>
      </c>
      <c r="L98" s="100"/>
      <c r="M98" s="105">
        <f t="shared" si="34"/>
        <v>0</v>
      </c>
      <c r="N98" s="385" t="e">
        <f t="shared" si="38"/>
        <v>#DIV/0!</v>
      </c>
      <c r="O98" s="386"/>
    </row>
    <row r="99" spans="2:15" x14ac:dyDescent="0.25">
      <c r="B99" s="429"/>
      <c r="C99" s="421" t="s">
        <v>25</v>
      </c>
      <c r="D99" s="421"/>
      <c r="E99" s="421"/>
      <c r="F99" s="421"/>
      <c r="G99" s="104">
        <f>SUM(G85:G94,G96:G98)</f>
        <v>0</v>
      </c>
      <c r="H99" s="427"/>
      <c r="I99" s="393" t="s">
        <v>25</v>
      </c>
      <c r="J99" s="393">
        <f>SUM(J85:J98)</f>
        <v>0</v>
      </c>
      <c r="K99" s="395">
        <f>SUM(K85:K98)</f>
        <v>0</v>
      </c>
      <c r="L99" s="100"/>
      <c r="M99" s="387">
        <f>SUM(M85:M98)</f>
        <v>0</v>
      </c>
      <c r="N99" s="388"/>
      <c r="O99" s="389"/>
    </row>
    <row r="100" spans="2:15" ht="15.75" thickBot="1" x14ac:dyDescent="0.3">
      <c r="B100" s="430"/>
      <c r="C100" s="397" t="s">
        <v>223</v>
      </c>
      <c r="D100" s="398"/>
      <c r="E100" s="108" t="s">
        <v>222</v>
      </c>
      <c r="F100" s="109">
        <v>1</v>
      </c>
      <c r="G100" s="110">
        <f>ROUNDUP((G99/F100),0)</f>
        <v>0</v>
      </c>
      <c r="H100" s="428"/>
      <c r="I100" s="394"/>
      <c r="J100" s="394"/>
      <c r="K100" s="396"/>
      <c r="L100" s="100"/>
      <c r="M100" s="390"/>
      <c r="N100" s="391"/>
      <c r="O100" s="392"/>
    </row>
    <row r="101" spans="2:15" ht="15.75" thickBot="1" x14ac:dyDescent="0.3"/>
    <row r="102" spans="2:15" x14ac:dyDescent="0.25">
      <c r="B102" s="431" t="s">
        <v>0</v>
      </c>
      <c r="C102" s="399" t="s">
        <v>19</v>
      </c>
      <c r="D102" s="399" t="s">
        <v>14</v>
      </c>
      <c r="E102" s="399" t="s">
        <v>1</v>
      </c>
      <c r="F102" s="417" t="s">
        <v>20</v>
      </c>
      <c r="G102" s="419" t="s">
        <v>21</v>
      </c>
      <c r="H102" s="401" t="s">
        <v>234</v>
      </c>
      <c r="I102" s="403" t="s">
        <v>232</v>
      </c>
      <c r="J102" s="406" t="s">
        <v>233</v>
      </c>
      <c r="K102" s="409" t="s">
        <v>204</v>
      </c>
      <c r="L102" s="100"/>
      <c r="M102" s="411" t="s">
        <v>31</v>
      </c>
      <c r="N102" s="413" t="s">
        <v>32</v>
      </c>
      <c r="O102" s="414"/>
    </row>
    <row r="103" spans="2:15" x14ac:dyDescent="0.25">
      <c r="B103" s="432"/>
      <c r="C103" s="400"/>
      <c r="D103" s="400"/>
      <c r="E103" s="400"/>
      <c r="F103" s="418"/>
      <c r="G103" s="420"/>
      <c r="H103" s="402"/>
      <c r="I103" s="404"/>
      <c r="J103" s="407"/>
      <c r="K103" s="410"/>
      <c r="L103" s="100"/>
      <c r="M103" s="412"/>
      <c r="N103" s="415"/>
      <c r="O103" s="416"/>
    </row>
    <row r="104" spans="2:15" x14ac:dyDescent="0.25">
      <c r="B104" s="429" t="s">
        <v>257</v>
      </c>
      <c r="C104" s="422" t="s">
        <v>231</v>
      </c>
      <c r="D104" s="423"/>
      <c r="E104" s="423"/>
      <c r="F104" s="423"/>
      <c r="G104" s="111">
        <f>SUM(G105:G115)</f>
        <v>0</v>
      </c>
      <c r="H104" s="402"/>
      <c r="I104" s="405"/>
      <c r="J104" s="408"/>
      <c r="K104" s="410"/>
      <c r="L104" s="100"/>
      <c r="M104" s="412"/>
      <c r="N104" s="415"/>
      <c r="O104" s="416"/>
    </row>
    <row r="105" spans="2:15" x14ac:dyDescent="0.25">
      <c r="B105" s="429"/>
      <c r="C105" s="101" t="s">
        <v>251</v>
      </c>
      <c r="D105" s="102" t="s">
        <v>88</v>
      </c>
      <c r="E105" s="102"/>
      <c r="F105" s="97">
        <v>150</v>
      </c>
      <c r="G105" s="103">
        <f t="shared" ref="G105:G116" si="39">F105*E105</f>
        <v>0</v>
      </c>
      <c r="H105" s="427">
        <v>1.45</v>
      </c>
      <c r="I105" s="97">
        <f>F105*$H$85</f>
        <v>217.5</v>
      </c>
      <c r="J105" s="97">
        <f>I105*E105</f>
        <v>0</v>
      </c>
      <c r="K105" s="106">
        <f>J105*1.23</f>
        <v>0</v>
      </c>
      <c r="L105" s="100"/>
      <c r="M105" s="105">
        <f>J105-G105</f>
        <v>0</v>
      </c>
      <c r="N105" s="385" t="e">
        <f>(J105/G105)-100%</f>
        <v>#DIV/0!</v>
      </c>
      <c r="O105" s="386"/>
    </row>
    <row r="106" spans="2:15" x14ac:dyDescent="0.25">
      <c r="B106" s="429"/>
      <c r="C106" s="101" t="s">
        <v>252</v>
      </c>
      <c r="D106" s="102" t="s">
        <v>88</v>
      </c>
      <c r="E106" s="102"/>
      <c r="F106" s="97">
        <v>150</v>
      </c>
      <c r="G106" s="103">
        <f t="shared" si="39"/>
        <v>0</v>
      </c>
      <c r="H106" s="427"/>
      <c r="I106" s="97">
        <f t="shared" ref="I106:I116" si="40">F106*$H$85</f>
        <v>217.5</v>
      </c>
      <c r="J106" s="97">
        <f>I106*E106</f>
        <v>0</v>
      </c>
      <c r="K106" s="106">
        <f t="shared" ref="K106:K116" si="41">J106*1.23</f>
        <v>0</v>
      </c>
      <c r="L106" s="100"/>
      <c r="M106" s="105">
        <f t="shared" ref="M106:M116" si="42">J106-G106</f>
        <v>0</v>
      </c>
      <c r="N106" s="385" t="e">
        <f t="shared" ref="N106:N116" si="43">(J106/G106)-100%</f>
        <v>#DIV/0!</v>
      </c>
      <c r="O106" s="386"/>
    </row>
    <row r="107" spans="2:15" x14ac:dyDescent="0.25">
      <c r="B107" s="429"/>
      <c r="C107" s="101" t="s">
        <v>253</v>
      </c>
      <c r="D107" s="102" t="s">
        <v>88</v>
      </c>
      <c r="E107" s="102"/>
      <c r="F107" s="97">
        <v>60</v>
      </c>
      <c r="G107" s="103">
        <f t="shared" si="39"/>
        <v>0</v>
      </c>
      <c r="H107" s="427"/>
      <c r="I107" s="97">
        <f t="shared" si="40"/>
        <v>87</v>
      </c>
      <c r="J107" s="97">
        <f>I107*E107</f>
        <v>0</v>
      </c>
      <c r="K107" s="106">
        <f t="shared" si="41"/>
        <v>0</v>
      </c>
      <c r="L107" s="100"/>
      <c r="M107" s="105">
        <f t="shared" si="42"/>
        <v>0</v>
      </c>
      <c r="N107" s="385" t="e">
        <f t="shared" si="43"/>
        <v>#DIV/0!</v>
      </c>
      <c r="O107" s="386"/>
    </row>
    <row r="108" spans="2:15" x14ac:dyDescent="0.25">
      <c r="B108" s="429"/>
      <c r="C108" s="101" t="s">
        <v>254</v>
      </c>
      <c r="D108" s="102" t="s">
        <v>151</v>
      </c>
      <c r="E108" s="102"/>
      <c r="F108" s="97">
        <v>50</v>
      </c>
      <c r="G108" s="103">
        <f t="shared" si="39"/>
        <v>0</v>
      </c>
      <c r="H108" s="427"/>
      <c r="I108" s="97">
        <f t="shared" si="40"/>
        <v>72.5</v>
      </c>
      <c r="J108" s="97">
        <f>I108*E108</f>
        <v>0</v>
      </c>
      <c r="K108" s="106">
        <f t="shared" si="41"/>
        <v>0</v>
      </c>
      <c r="L108" s="100"/>
      <c r="M108" s="105">
        <f t="shared" si="42"/>
        <v>0</v>
      </c>
      <c r="N108" s="385" t="e">
        <f t="shared" si="43"/>
        <v>#DIV/0!</v>
      </c>
      <c r="O108" s="386"/>
    </row>
    <row r="109" spans="2:15" x14ac:dyDescent="0.25">
      <c r="B109" s="429"/>
      <c r="C109" s="101" t="s">
        <v>250</v>
      </c>
      <c r="D109" s="102" t="s">
        <v>92</v>
      </c>
      <c r="E109" s="102"/>
      <c r="F109" s="97">
        <v>17</v>
      </c>
      <c r="G109" s="103">
        <f t="shared" si="39"/>
        <v>0</v>
      </c>
      <c r="H109" s="427"/>
      <c r="I109" s="97">
        <f t="shared" ref="I109:I110" si="44">F109*$H$85</f>
        <v>24.65</v>
      </c>
      <c r="J109" s="97">
        <f t="shared" ref="J109:J110" si="45">I109*E109</f>
        <v>0</v>
      </c>
      <c r="K109" s="106">
        <f t="shared" si="41"/>
        <v>0</v>
      </c>
      <c r="L109" s="100"/>
      <c r="M109" s="105">
        <f t="shared" si="42"/>
        <v>0</v>
      </c>
      <c r="N109" s="385" t="e">
        <f t="shared" ref="N109:N110" si="46">(J109/G109)-100%</f>
        <v>#DIV/0!</v>
      </c>
      <c r="O109" s="386"/>
    </row>
    <row r="110" spans="2:15" x14ac:dyDescent="0.25">
      <c r="B110" s="429"/>
      <c r="C110" s="101" t="s">
        <v>212</v>
      </c>
      <c r="D110" s="102" t="s">
        <v>92</v>
      </c>
      <c r="E110" s="102"/>
      <c r="F110" s="97">
        <v>12</v>
      </c>
      <c r="G110" s="103">
        <f t="shared" si="39"/>
        <v>0</v>
      </c>
      <c r="H110" s="427"/>
      <c r="I110" s="97">
        <f t="shared" si="44"/>
        <v>17.399999999999999</v>
      </c>
      <c r="J110" s="97">
        <f t="shared" si="45"/>
        <v>0</v>
      </c>
      <c r="K110" s="106">
        <f t="shared" si="41"/>
        <v>0</v>
      </c>
      <c r="L110" s="100"/>
      <c r="M110" s="105">
        <f t="shared" si="42"/>
        <v>0</v>
      </c>
      <c r="N110" s="385" t="e">
        <f t="shared" si="46"/>
        <v>#DIV/0!</v>
      </c>
      <c r="O110" s="386"/>
    </row>
    <row r="111" spans="2:15" x14ac:dyDescent="0.25">
      <c r="B111" s="429"/>
      <c r="C111" s="101" t="s">
        <v>255</v>
      </c>
      <c r="D111" s="102" t="s">
        <v>94</v>
      </c>
      <c r="E111" s="102"/>
      <c r="F111" s="97">
        <v>60</v>
      </c>
      <c r="G111" s="103">
        <f t="shared" si="39"/>
        <v>0</v>
      </c>
      <c r="H111" s="427"/>
      <c r="I111" s="97">
        <f t="shared" si="40"/>
        <v>87</v>
      </c>
      <c r="J111" s="97">
        <f>I111*E111</f>
        <v>0</v>
      </c>
      <c r="K111" s="106">
        <f t="shared" si="41"/>
        <v>0</v>
      </c>
      <c r="L111" s="100"/>
      <c r="M111" s="105">
        <f t="shared" si="42"/>
        <v>0</v>
      </c>
      <c r="N111" s="385" t="e">
        <f t="shared" si="43"/>
        <v>#DIV/0!</v>
      </c>
      <c r="O111" s="386"/>
    </row>
    <row r="112" spans="2:15" x14ac:dyDescent="0.25">
      <c r="B112" s="429"/>
      <c r="C112" s="101" t="s">
        <v>256</v>
      </c>
      <c r="D112" s="102" t="s">
        <v>92</v>
      </c>
      <c r="E112" s="102"/>
      <c r="F112" s="97">
        <v>20</v>
      </c>
      <c r="G112" s="103">
        <f t="shared" si="39"/>
        <v>0</v>
      </c>
      <c r="H112" s="427"/>
      <c r="I112" s="97">
        <f t="shared" si="40"/>
        <v>29</v>
      </c>
      <c r="J112" s="97">
        <f>I112*E112</f>
        <v>0</v>
      </c>
      <c r="K112" s="106">
        <f t="shared" si="41"/>
        <v>0</v>
      </c>
      <c r="L112" s="100"/>
      <c r="M112" s="105">
        <f t="shared" si="42"/>
        <v>0</v>
      </c>
      <c r="N112" s="385" t="e">
        <f t="shared" si="43"/>
        <v>#DIV/0!</v>
      </c>
      <c r="O112" s="386"/>
    </row>
    <row r="113" spans="2:15" x14ac:dyDescent="0.25">
      <c r="B113" s="429"/>
      <c r="C113" s="101" t="s">
        <v>217</v>
      </c>
      <c r="D113" s="102" t="s">
        <v>92</v>
      </c>
      <c r="E113" s="102"/>
      <c r="F113" s="97">
        <v>20</v>
      </c>
      <c r="G113" s="103">
        <f t="shared" si="39"/>
        <v>0</v>
      </c>
      <c r="H113" s="427"/>
      <c r="I113" s="97">
        <f t="shared" si="40"/>
        <v>29</v>
      </c>
      <c r="J113" s="97">
        <f>I113*E113</f>
        <v>0</v>
      </c>
      <c r="K113" s="106">
        <f t="shared" si="41"/>
        <v>0</v>
      </c>
      <c r="L113" s="100"/>
      <c r="M113" s="105">
        <f t="shared" si="42"/>
        <v>0</v>
      </c>
      <c r="N113" s="385" t="e">
        <f t="shared" si="43"/>
        <v>#DIV/0!</v>
      </c>
      <c r="O113" s="386"/>
    </row>
    <row r="114" spans="2:15" x14ac:dyDescent="0.25">
      <c r="B114" s="429"/>
      <c r="C114" s="101" t="s">
        <v>218</v>
      </c>
      <c r="D114" s="102" t="s">
        <v>88</v>
      </c>
      <c r="E114" s="102"/>
      <c r="F114" s="97">
        <v>40</v>
      </c>
      <c r="G114" s="103">
        <f t="shared" si="39"/>
        <v>0</v>
      </c>
      <c r="H114" s="427"/>
      <c r="I114" s="97">
        <f t="shared" si="40"/>
        <v>58</v>
      </c>
      <c r="J114" s="97">
        <f>I114*E114</f>
        <v>0</v>
      </c>
      <c r="K114" s="106">
        <f t="shared" si="41"/>
        <v>0</v>
      </c>
      <c r="L114" s="100"/>
      <c r="M114" s="105">
        <f t="shared" si="42"/>
        <v>0</v>
      </c>
      <c r="N114" s="385" t="e">
        <f t="shared" si="43"/>
        <v>#DIV/0!</v>
      </c>
      <c r="O114" s="386"/>
    </row>
    <row r="115" spans="2:15" x14ac:dyDescent="0.25">
      <c r="B115" s="429"/>
      <c r="C115" s="101" t="s">
        <v>219</v>
      </c>
      <c r="D115" s="102" t="s">
        <v>88</v>
      </c>
      <c r="E115" s="102"/>
      <c r="F115" s="97">
        <v>20</v>
      </c>
      <c r="G115" s="103">
        <f t="shared" si="39"/>
        <v>0</v>
      </c>
      <c r="H115" s="427"/>
      <c r="I115" s="97">
        <f t="shared" si="40"/>
        <v>29</v>
      </c>
      <c r="J115" s="97">
        <f>I115*E115</f>
        <v>0</v>
      </c>
      <c r="K115" s="106">
        <f t="shared" si="41"/>
        <v>0</v>
      </c>
      <c r="L115" s="100"/>
      <c r="M115" s="105">
        <f t="shared" si="42"/>
        <v>0</v>
      </c>
      <c r="N115" s="385" t="e">
        <f t="shared" si="43"/>
        <v>#DIV/0!</v>
      </c>
      <c r="O115" s="386"/>
    </row>
    <row r="116" spans="2:15" x14ac:dyDescent="0.25">
      <c r="B116" s="429"/>
      <c r="C116" s="101" t="s">
        <v>226</v>
      </c>
      <c r="D116" s="102" t="s">
        <v>88</v>
      </c>
      <c r="E116" s="102"/>
      <c r="F116" s="97">
        <v>20</v>
      </c>
      <c r="G116" s="103">
        <f t="shared" si="39"/>
        <v>0</v>
      </c>
      <c r="H116" s="427"/>
      <c r="I116" s="97">
        <f t="shared" si="40"/>
        <v>29</v>
      </c>
      <c r="J116" s="97">
        <f t="shared" ref="J116" si="47">I116*E116</f>
        <v>0</v>
      </c>
      <c r="K116" s="106">
        <f t="shared" si="41"/>
        <v>0</v>
      </c>
      <c r="L116" s="100"/>
      <c r="M116" s="105">
        <f t="shared" si="42"/>
        <v>0</v>
      </c>
      <c r="N116" s="385" t="e">
        <f t="shared" si="43"/>
        <v>#DIV/0!</v>
      </c>
      <c r="O116" s="386"/>
    </row>
    <row r="117" spans="2:15" x14ac:dyDescent="0.25">
      <c r="B117" s="429"/>
      <c r="C117" s="421" t="s">
        <v>25</v>
      </c>
      <c r="D117" s="421"/>
      <c r="E117" s="421"/>
      <c r="F117" s="421"/>
      <c r="G117" s="104">
        <f>SUM(G105:G115,G116:G116)</f>
        <v>0</v>
      </c>
      <c r="H117" s="427"/>
      <c r="I117" s="393" t="s">
        <v>25</v>
      </c>
      <c r="J117" s="393">
        <f>SUM(J105:J116)</f>
        <v>0</v>
      </c>
      <c r="K117" s="395">
        <f>SUM(K105:K116)</f>
        <v>0</v>
      </c>
      <c r="L117" s="100"/>
      <c r="M117" s="387">
        <f>SUM(M105:M116)</f>
        <v>0</v>
      </c>
      <c r="N117" s="388"/>
      <c r="O117" s="389"/>
    </row>
    <row r="118" spans="2:15" ht="15.75" thickBot="1" x14ac:dyDescent="0.3">
      <c r="B118" s="430"/>
      <c r="C118" s="397" t="s">
        <v>223</v>
      </c>
      <c r="D118" s="398"/>
      <c r="E118" s="108" t="s">
        <v>222</v>
      </c>
      <c r="F118" s="109">
        <v>1</v>
      </c>
      <c r="G118" s="110">
        <f>ROUNDUP((G117/F118),0)</f>
        <v>0</v>
      </c>
      <c r="H118" s="428"/>
      <c r="I118" s="394"/>
      <c r="J118" s="394"/>
      <c r="K118" s="396"/>
      <c r="L118" s="100"/>
      <c r="M118" s="390"/>
      <c r="N118" s="391"/>
      <c r="O118" s="392"/>
    </row>
  </sheetData>
  <mergeCells count="196">
    <mergeCell ref="G2:G3"/>
    <mergeCell ref="E2:E3"/>
    <mergeCell ref="B4:B26"/>
    <mergeCell ref="C25:F25"/>
    <mergeCell ref="C26:D26"/>
    <mergeCell ref="C4:F4"/>
    <mergeCell ref="C13:F13"/>
    <mergeCell ref="B2:B3"/>
    <mergeCell ref="C2:C3"/>
    <mergeCell ref="D2:D3"/>
    <mergeCell ref="F2:F3"/>
    <mergeCell ref="B104:B118"/>
    <mergeCell ref="C104:F104"/>
    <mergeCell ref="H105:H118"/>
    <mergeCell ref="C117:F117"/>
    <mergeCell ref="B102:B103"/>
    <mergeCell ref="E102:E103"/>
    <mergeCell ref="F102:F103"/>
    <mergeCell ref="G102:G103"/>
    <mergeCell ref="K79:K80"/>
    <mergeCell ref="B82:B83"/>
    <mergeCell ref="C82:C83"/>
    <mergeCell ref="B56:B80"/>
    <mergeCell ref="H54:H56"/>
    <mergeCell ref="I54:I56"/>
    <mergeCell ref="B54:B55"/>
    <mergeCell ref="C54:C55"/>
    <mergeCell ref="B84:B100"/>
    <mergeCell ref="C84:F84"/>
    <mergeCell ref="H85:H100"/>
    <mergeCell ref="C99:F99"/>
    <mergeCell ref="I99:I100"/>
    <mergeCell ref="J99:J100"/>
    <mergeCell ref="K99:K100"/>
    <mergeCell ref="I117:I118"/>
    <mergeCell ref="K2:K4"/>
    <mergeCell ref="K25:K26"/>
    <mergeCell ref="J2:J4"/>
    <mergeCell ref="J28:J30"/>
    <mergeCell ref="K28:K30"/>
    <mergeCell ref="I2:I4"/>
    <mergeCell ref="H2:H4"/>
    <mergeCell ref="H5:H26"/>
    <mergeCell ref="I25:I26"/>
    <mergeCell ref="J25:J26"/>
    <mergeCell ref="N11:O11"/>
    <mergeCell ref="N12:O12"/>
    <mergeCell ref="N14:O14"/>
    <mergeCell ref="N15:O15"/>
    <mergeCell ref="N16:O16"/>
    <mergeCell ref="M2:M4"/>
    <mergeCell ref="N2:O4"/>
    <mergeCell ref="N7:O7"/>
    <mergeCell ref="N8:O8"/>
    <mergeCell ref="N9:O9"/>
    <mergeCell ref="N10:O10"/>
    <mergeCell ref="N5:O5"/>
    <mergeCell ref="N6:O6"/>
    <mergeCell ref="N23:O23"/>
    <mergeCell ref="N24:O24"/>
    <mergeCell ref="M25:O26"/>
    <mergeCell ref="M13:O13"/>
    <mergeCell ref="N17:O17"/>
    <mergeCell ref="N18:O18"/>
    <mergeCell ref="N19:O19"/>
    <mergeCell ref="N20:O20"/>
    <mergeCell ref="N21:O21"/>
    <mergeCell ref="N22:O22"/>
    <mergeCell ref="C37:F37"/>
    <mergeCell ref="M37:O37"/>
    <mergeCell ref="N38:O38"/>
    <mergeCell ref="M28:M30"/>
    <mergeCell ref="N28:O30"/>
    <mergeCell ref="B30:B52"/>
    <mergeCell ref="C30:F30"/>
    <mergeCell ref="H31:H52"/>
    <mergeCell ref="N31:O31"/>
    <mergeCell ref="N32:O32"/>
    <mergeCell ref="N33:O33"/>
    <mergeCell ref="D28:D29"/>
    <mergeCell ref="E28:E29"/>
    <mergeCell ref="F28:F29"/>
    <mergeCell ref="G28:G29"/>
    <mergeCell ref="H28:H30"/>
    <mergeCell ref="I28:I30"/>
    <mergeCell ref="B28:B29"/>
    <mergeCell ref="C28:C29"/>
    <mergeCell ref="N39:O39"/>
    <mergeCell ref="N40:O40"/>
    <mergeCell ref="N44:O44"/>
    <mergeCell ref="N45:O45"/>
    <mergeCell ref="N46:O46"/>
    <mergeCell ref="N41:O41"/>
    <mergeCell ref="N42:O42"/>
    <mergeCell ref="N43:O43"/>
    <mergeCell ref="N34:O34"/>
    <mergeCell ref="N35:O35"/>
    <mergeCell ref="N36:O36"/>
    <mergeCell ref="N47:O47"/>
    <mergeCell ref="N48:O48"/>
    <mergeCell ref="N49:O49"/>
    <mergeCell ref="N50:O50"/>
    <mergeCell ref="C51:F51"/>
    <mergeCell ref="I51:I52"/>
    <mergeCell ref="J51:J52"/>
    <mergeCell ref="K51:K52"/>
    <mergeCell ref="M51:O52"/>
    <mergeCell ref="C52:D52"/>
    <mergeCell ref="C67:F67"/>
    <mergeCell ref="M67:O67"/>
    <mergeCell ref="N61:O61"/>
    <mergeCell ref="N62:O62"/>
    <mergeCell ref="J54:J56"/>
    <mergeCell ref="K54:K56"/>
    <mergeCell ref="M54:M56"/>
    <mergeCell ref="N54:O56"/>
    <mergeCell ref="C56:F56"/>
    <mergeCell ref="H57:H80"/>
    <mergeCell ref="N57:O57"/>
    <mergeCell ref="N58:O58"/>
    <mergeCell ref="N59:O59"/>
    <mergeCell ref="D54:D55"/>
    <mergeCell ref="E54:E55"/>
    <mergeCell ref="F54:F55"/>
    <mergeCell ref="G54:G55"/>
    <mergeCell ref="N68:O68"/>
    <mergeCell ref="N69:O69"/>
    <mergeCell ref="N70:O70"/>
    <mergeCell ref="N71:O71"/>
    <mergeCell ref="N72:O72"/>
    <mergeCell ref="N73:O73"/>
    <mergeCell ref="N60:O60"/>
    <mergeCell ref="N63:O63"/>
    <mergeCell ref="N64:O64"/>
    <mergeCell ref="N65:O65"/>
    <mergeCell ref="N66:O66"/>
    <mergeCell ref="D82:D83"/>
    <mergeCell ref="E82:E83"/>
    <mergeCell ref="F82:F83"/>
    <mergeCell ref="G82:G83"/>
    <mergeCell ref="H82:H84"/>
    <mergeCell ref="I82:I84"/>
    <mergeCell ref="N74:O74"/>
    <mergeCell ref="N75:O75"/>
    <mergeCell ref="N76:O76"/>
    <mergeCell ref="N77:O77"/>
    <mergeCell ref="N78:O78"/>
    <mergeCell ref="C79:F79"/>
    <mergeCell ref="I79:I80"/>
    <mergeCell ref="J79:J80"/>
    <mergeCell ref="M79:O80"/>
    <mergeCell ref="C80:D80"/>
    <mergeCell ref="M102:M104"/>
    <mergeCell ref="N102:O104"/>
    <mergeCell ref="J82:J84"/>
    <mergeCell ref="K82:K84"/>
    <mergeCell ref="M82:M84"/>
    <mergeCell ref="N82:O84"/>
    <mergeCell ref="N85:O85"/>
    <mergeCell ref="N86:O86"/>
    <mergeCell ref="N87:O87"/>
    <mergeCell ref="N94:O94"/>
    <mergeCell ref="N96:O96"/>
    <mergeCell ref="N97:O97"/>
    <mergeCell ref="N98:O98"/>
    <mergeCell ref="N95:O95"/>
    <mergeCell ref="N88:O88"/>
    <mergeCell ref="N89:O89"/>
    <mergeCell ref="N90:O90"/>
    <mergeCell ref="N91:O91"/>
    <mergeCell ref="N92:O92"/>
    <mergeCell ref="N93:O93"/>
    <mergeCell ref="N105:O105"/>
    <mergeCell ref="N106:O106"/>
    <mergeCell ref="M99:O100"/>
    <mergeCell ref="J117:J118"/>
    <mergeCell ref="K117:K118"/>
    <mergeCell ref="M117:O118"/>
    <mergeCell ref="C118:D118"/>
    <mergeCell ref="N109:O109"/>
    <mergeCell ref="N110:O110"/>
    <mergeCell ref="N115:O115"/>
    <mergeCell ref="N116:O116"/>
    <mergeCell ref="N107:O107"/>
    <mergeCell ref="N108:O108"/>
    <mergeCell ref="N111:O111"/>
    <mergeCell ref="N112:O112"/>
    <mergeCell ref="N113:O113"/>
    <mergeCell ref="N114:O114"/>
    <mergeCell ref="C100:D100"/>
    <mergeCell ref="C102:C103"/>
    <mergeCell ref="D102:D103"/>
    <mergeCell ref="H102:H104"/>
    <mergeCell ref="I102:I104"/>
    <mergeCell ref="J102:J104"/>
    <mergeCell ref="K102:K10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18419BF78B6042A7D541D5656F1430" ma:contentTypeVersion="11" ma:contentTypeDescription="Criar um novo documento." ma:contentTypeScope="" ma:versionID="3c89bff0a48ad72043f98e71f6172130">
  <xsd:schema xmlns:xsd="http://www.w3.org/2001/XMLSchema" xmlns:xs="http://www.w3.org/2001/XMLSchema" xmlns:p="http://schemas.microsoft.com/office/2006/metadata/properties" xmlns:ns2="7879bac3-be1c-4709-83fa-220c1ec0737c" xmlns:ns3="3847c871-b778-4854-8a79-13d444022220" targetNamespace="http://schemas.microsoft.com/office/2006/metadata/properties" ma:root="true" ma:fieldsID="23f65c1a8e20c93282f41c121861b848" ns2:_="" ns3:_="">
    <xsd:import namespace="7879bac3-be1c-4709-83fa-220c1ec0737c"/>
    <xsd:import namespace="3847c871-b778-4854-8a79-13d444022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9bac3-be1c-4709-83fa-220c1ec07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a730e9a3-2f25-427b-9001-0c5ea4fbf2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7c871-b778-4854-8a79-13d4440222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8de304-cd2c-4251-9064-f1d8e4ff9851}" ma:internalName="TaxCatchAll" ma:showField="CatchAllData" ma:web="3847c871-b778-4854-8a79-13d444022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47c871-b778-4854-8a79-13d444022220" xsi:nil="true"/>
    <lcf76f155ced4ddcb4097134ff3c332f xmlns="7879bac3-be1c-4709-83fa-220c1ec073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A01CF1-266F-491D-8B62-91AB82B58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9bac3-be1c-4709-83fa-220c1ec0737c"/>
    <ds:schemaRef ds:uri="3847c871-b778-4854-8a79-13d444022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012585-466B-40B2-ADB9-4E353C8D682D}">
  <ds:schemaRefs>
    <ds:schemaRef ds:uri="http://schemas.microsoft.com/office/2006/metadata/properties"/>
    <ds:schemaRef ds:uri="http://schemas.microsoft.com/office/infopath/2007/PartnerControls"/>
    <ds:schemaRef ds:uri="a6ff5fee-8925-48a9-a0a3-cca8600b1ec3"/>
    <ds:schemaRef ds:uri="91ad73eb-5d5e-45cb-afc6-32b09f037bc7"/>
    <ds:schemaRef ds:uri="3847c871-b778-4854-8a79-13d444022220"/>
    <ds:schemaRef ds:uri="7879bac3-be1c-4709-83fa-220c1ec0737c"/>
  </ds:schemaRefs>
</ds:datastoreItem>
</file>

<file path=customXml/itemProps3.xml><?xml version="1.0" encoding="utf-8"?>
<ds:datastoreItem xmlns:ds="http://schemas.openxmlformats.org/officeDocument/2006/customXml" ds:itemID="{C24F1E0D-5847-4772-B3D0-00AB627716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4</vt:i4>
      </vt:variant>
    </vt:vector>
  </HeadingPairs>
  <TitlesOfParts>
    <vt:vector size="11" baseType="lpstr">
      <vt:lpstr>MQT</vt:lpstr>
      <vt:lpstr>M.Calculo</vt:lpstr>
      <vt:lpstr>Lista de composição de preço</vt:lpstr>
      <vt:lpstr>Lista de custos obra</vt:lpstr>
      <vt:lpstr>MQT Real - Analitico</vt:lpstr>
      <vt:lpstr>Lista de composição de testes</vt:lpstr>
      <vt:lpstr>Lista de composição TB pontuais</vt:lpstr>
      <vt:lpstr>MQT!Área_de_Impressão</vt:lpstr>
      <vt:lpstr>'MQT Real - Analitico'!Área_de_Impressão</vt:lpstr>
      <vt:lpstr>m.a</vt:lpstr>
      <vt:lpstr>m.o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MCP</dc:title>
  <dc:creator>Vinícius Tomaz</dc:creator>
  <cp:lastModifiedBy>TECKNOWHOW</cp:lastModifiedBy>
  <cp:lastPrinted>2026-08-01T16:23:22Z</cp:lastPrinted>
  <dcterms:created xsi:type="dcterms:W3CDTF">2022-06-27T14:15:27Z</dcterms:created>
  <dcterms:modified xsi:type="dcterms:W3CDTF">2026-08-01T16:25:42Z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0x0101002A18419BF78B6042A7D541D5656F1430</vt:lpwstr>
  </property>
  <property fmtid="{D5CDD505-2E9C-101B-9397-08002B2CF9AE}" pid="3" name="MediaServiceImageTags">
    <vt:lpwstr/>
  </property>
</Properties>
</file>